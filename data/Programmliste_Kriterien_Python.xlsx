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1071A11E-90F1-469F-82EF-92278B253E87}" xr6:coauthVersionLast="47" xr6:coauthVersionMax="47" xr10:uidLastSave="{00000000-0000-0000-0000-000000000000}"/>
  <bookViews>
    <workbookView xWindow="23929" yWindow="-113" windowWidth="24267" windowHeight="13048" activeTab="5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<sst xmlns="http://schemas.openxmlformats.org/spreadsheetml/2006/main" count="4975" uniqueCount="1789">
  <si>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</si>
  <si>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</si>
  <si>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</si>
  <si>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</si>
  <si>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</si>
  <si>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</si>
  <si>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</si>
  <si>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</si>
  <si>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</si>
  <si>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</si>
  <si>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</si>
  <si>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</si>
  <si>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</si>
  <si>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</si>
  <si>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</si>
  <si>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</si>
  <si>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</si>
  <si>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</si>
  <si>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</si>
  <si>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</si>
  <si>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</si>
  <si>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</si>
  <si>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</si>
  <si>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</si>
  <si>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</si>
  <si>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</si>
  <si>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</si>
  <si>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</si>
  <si>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</si>
  <si>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</si>
  <si>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</si>
  <si>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</si>
  <si>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</si>
  <si>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</si>
  <si>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</si>
  <si>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</si>
  <si>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</si>
  <si>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</si>
  <si>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</si>
  <si>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</si>
  <si>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</si>
  <si>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</si>
  <si>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</si>
  <si>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</si>
  <si>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</si>
  <si>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</si>
  <si>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</si>
  <si>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</si>
  <si>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</si>
  <si>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</si>
  <si>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</si>
  <si>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</si>
  <si>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</si>
  <si>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</si>
  <si>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</si>
  <si>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</si>
  <si>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</si>
  <si>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</si>
  <si>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</si>
  <si>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</si>
  <si>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</si>
  <si>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</si>
  <si>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</si>
  <si>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</si>
  <si>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</si>
  <si>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</si>
  <si>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</si>
  <si>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</si>
  <si>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</si>
  <si>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</si>
  <si>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</si>
  <si>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</si>
  <si>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</si>
  <si>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</si>
  <si>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</si>
  <si>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</si>
  <si>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</si>
  <si>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</si>
  <si>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</si>
  <si>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</si>
  <si>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</si>
  <si>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</si>
  <si>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</si>
  <si>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</si>
  <si>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</si>
  <si>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</si>
  <si>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</si>
  <si>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</si>
  <si>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</si>
  <si>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</si>
  <si>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</si>
  <si>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</si>
  <si>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</si>
  <si>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</si>
  <si>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</si>
  <si>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</si>
  <si>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</si>
  <si>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</si>
  <si>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</si>
  <si>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</si>
  <si>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</si>
  <si>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</si>
  <si>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</si>
  <si>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</si>
  <si>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</si>
  <si>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</si>
  <si>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</si>
  <si>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</si>
  <si>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</si>
  <si>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</si>
  <si>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</si>
  <si>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</si>
  <si>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</si>
  <si>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</si>
  <si>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</si>
  <si>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</si>
  <si>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</si>
  <si>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</si>
  <si>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</si>
  <si>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</si>
  <si>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</si>
  <si>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</si>
  <si>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</si>
  <si>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</si>
  <si>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</si>
  <si>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</si>
  <si>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</si>
  <si>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</si>
  <si>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</si>
  <si>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</si>
  <si>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</si>
  <si>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</si>
  <si>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</si>
  <si>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</si>
  <si>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</si>
  <si>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</si>
  <si>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</si>
  <si>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</si>
  <si>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</si>
  <si>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</si>
  <si>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</si>
  <si>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</si>
  <si>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</si>
  <si>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</si>
  <si>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</si>
  <si>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</si>
  <si>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</si>
  <si>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</si>
  <si>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</si>
  <si>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</si>
  <si>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</si>
  <si>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</si>
  <si>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</si>
  <si>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</si>
  <si>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</si>
  <si>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</si>
  <si>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</si>
  <si>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</si>
  <si>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</si>
  <si>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</si>
  <si>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</si>
  <si>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</si>
  <si>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</si>
  <si>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</si>
  <si>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</si>
  <si>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</si>
  <si>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</si>
  <si>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</si>
  <si>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</si>
  <si>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</si>
  <si>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</si>
  <si>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</si>
  <si>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</si>
  <si>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</si>
  <si>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</si>
  <si>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</si>
  <si>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</si>
  <si>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</si>
  <si>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</si>
  <si>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</si>
  <si>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</si>
  <si>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</si>
  <si>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</si>
  <si>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</si>
  <si>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</si>
  <si>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</si>
  <si>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</si>
  <si>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</si>
  <si>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</si>
  <si>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</si>
  <si>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</si>
  <si>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</si>
  <si>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</si>
  <si>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</si>
  <si>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</si>
  <si>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</si>
  <si>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</si>
  <si>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</si>
  <si>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</si>
  <si>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</si>
  <si>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</si>
  <si>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</si>
  <si>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</si>
  <si>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</si>
  <si>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</si>
  <si>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</si>
  <si>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</si>
  <si>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</si>
  <si>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</si>
  <si>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</si>
  <si>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</si>
  <si>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</si>
  <si>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</si>
  <si>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</si>
  <si>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</si>
  <si>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</si>
  <si>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</si>
  <si>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</si>
  <si>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</si>
  <si>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</si>
  <si>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</si>
  <si>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</si>
  <si>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</si>
  <si>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</si>
  <si>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</si>
  <si>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</si>
  <si>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</si>
  <si>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</si>
  <si>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</si>
  <si>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</si>
  <si>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</si>
  <si>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</si>
  <si>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</si>
  <si>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</si>
  <si>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</si>
  <si>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</si>
  <si>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</si>
  <si>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</si>
  <si>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</si>
  <si>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</si>
  <si>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</si>
  <si>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</si>
  <si>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</si>
  <si>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</si>
  <si>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</si>
  <si>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</si>
  <si>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</si>
  <si>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</si>
  <si>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</si>
  <si>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</si>
  <si>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</si>
  <si>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</si>
  <si>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</si>
  <si>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</si>
  <si>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</si>
  <si>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</si>
  <si>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</si>
  <si>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</si>
  <si>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</si>
  <si>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</si>
  <si>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</si>
  <si>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</si>
  <si>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</si>
  <si>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</si>
  <si>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</si>
  <si>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</si>
  <si>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</si>
  <si>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</si>
  <si>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</si>
  <si>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</si>
  <si>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</si>
  <si>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</si>
  <si>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</si>
  <si>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</si>
  <si>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</si>
  <si>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</si>
  <si>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</si>
  <si>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</si>
  <si>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</si>
  <si>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</si>
  <si>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</si>
  <si>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</si>
  <si>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</si>
  <si>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</si>
  <si>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</si>
  <si>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</si>
  <si>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</si>
  <si>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</si>
  <si>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</si>
  <si>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</si>
  <si>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</si>
  <si>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</si>
  <si>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</si>
  <si>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</si>
  <si>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</si>
  <si>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</si>
  <si>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</si>
  <si>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</si>
  <si>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</si>
  <si>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</si>
  <si>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</si>
  <si>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</si>
  <si>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</si>
  <si>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</si>
  <si>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</si>
  <si>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</si>
  <si>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</si>
  <si>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</si>
  <si>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</si>
  <si>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</si>
  <si>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</si>
  <si>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</si>
  <si>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</si>
  <si>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</si>
  <si>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</si>
  <si>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</si>
  <si>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</si>
  <si>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</si>
  <si>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</si>
  <si>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</si>
  <si>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</si>
  <si>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</si>
  <si>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</si>
  <si>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</si>
  <si>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</si>
  <si>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</si>
  <si>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</si>
  <si>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</si>
  <si>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</si>
  <si>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</si>
  <si>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</si>
  <si>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</si>
  <si>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</si>
  <si>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</si>
  <si>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</si>
  <si>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</si>
  <si>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</si>
  <si>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</si>
  <si>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</si>
  <si>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</si>
  <si>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</si>
  <si>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</si>
  <si>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</si>
  <si>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</si>
  <si>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</si>
  <si>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</si>
  <si>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</si>
  <si>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</si>
  <si>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</si>
  <si>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</si>
  <si>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</si>
  <si>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</si>
  <si>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</si>
  <si>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</si>
  <si>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</si>
  <si>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</si>
  <si>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</si>
  <si>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</si>
  <si>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</si>
  <si>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</si>
  <si>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</si>
  <si>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</si>
  <si>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</si>
  <si>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</si>
  <si>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</si>
  <si>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</si>
  <si>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</si>
  <si>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</si>
  <si>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</si>
  <si>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</si>
  <si>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</si>
  <si>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</si>
  <si>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</si>
  <si>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</si>
  <si>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</si>
  <si>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</si>
  <si>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</si>
  <si>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</si>
  <si>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</si>
  <si>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</si>
  <si>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</si>
  <si>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</si>
  <si>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</si>
  <si>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</si>
  <si>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</si>
  <si>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</si>
  <si>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</si>
  <si>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</si>
  <si>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</si>
  <si>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</si>
  <si>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</si>
  <si>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</si>
  <si>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</si>
  <si>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</si>
  <si>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</si>
  <si>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</si>
  <si>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</si>
  <si>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</si>
  <si>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</si>
  <si>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</si>
  <si>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</si>
  <si>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</si>
  <si>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</si>
  <si>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</si>
  <si>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</si>
  <si>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</si>
  <si>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</si>
  <si>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</si>
  <si>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</si>
  <si>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</si>
  <si>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</si>
  <si>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</si>
  <si>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</si>
  <si>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</si>
  <si>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</si>
  <si>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</si>
  <si>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</si>
  <si>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</si>
  <si>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</si>
  <si>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</si>
  <si>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</si>
  <si>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</si>
  <si>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</si>
  <si>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</si>
  <si>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</si>
  <si>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</si>
  <si>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</si>
  <si>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</si>
  <si>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</si>
  <si>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</si>
  <si>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</si>
  <si>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</si>
  <si>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</si>
  <si>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</si>
  <si>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</si>
  <si>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</si>
  <si>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</si>
  <si>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</si>
  <si>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</si>
  <si>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</si>
  <si>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</si>
  <si>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</si>
  <si>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</si>
  <si>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</si>
  <si>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</si>
  <si>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</si>
  <si>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</si>
  <si>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</si>
  <si>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</si>
  <si>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</si>
  <si>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</si>
  <si>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</si>
  <si>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</si>
  <si>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</si>
  <si>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</si>
  <si>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</si>
  <si>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</si>
  <si>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</si>
  <si>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</si>
  <si>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</si>
  <si>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</si>
  <si>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</si>
  <si>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</si>
  <si>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</si>
  <si>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</si>
  <si>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</si>
  <si>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</si>
  <si>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</si>
  <si>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</si>
  <si>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</si>
  <si>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</si>
  <si>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</si>
  <si>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</si>
  <si>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</si>
  <si>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</si>
  <si>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</si>
  <si>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</si>
  <si>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</si>
  <si>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</si>
  <si>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</si>
  <si>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</si>
  <si>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</si>
  <si>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</si>
  <si>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</si>
  <si>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</si>
  <si>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</si>
  <si>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</si>
  <si>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</si>
  <si>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stationäres Terminal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</si>
  <si>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</si>
  <si>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</si>
  <si>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</si>
  <si>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</si>
  <si>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</si>
  <si>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</si>
  <si>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</si>
  <si>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</si>
  <si>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</si>
  <si>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</si>
  <si>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</si>
  <si>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</si>
  <si>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</si>
  <si>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</si>
  <si>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</si>
  <si>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</si>
  <si>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</si>
  <si>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</si>
  <si>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</si>
  <si>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</si>
  <si>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</si>
  <si>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</si>
  <si>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</si>
  <si>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</si>
  <si>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</si>
  <si>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</si>
  <si>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</si>
  <si>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</si>
  <si>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</si>
  <si>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</si>
  <si>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</si>
  <si>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</si>
  <si>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</si>
  <si>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</si>
  <si>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</si>
  <si>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</si>
  <si>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</si>
  <si>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</si>
  <si>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</si>
  <si>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</si>
  <si>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</si>
  <si>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</si>
  <si>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</si>
  <si>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</si>
  <si>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</si>
  <si>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</si>
  <si>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</si>
  <si>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</si>
  <si>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</si>
  <si>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</si>
  <si>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</si>
  <si>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</si>
  <si>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</si>
  <si>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</si>
  <si>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</si>
  <si>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</si>
  <si>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</si>
  <si>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</si>
  <si>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</si>
  <si>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</si>
  <si>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</si>
  <si>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</si>
  <si>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</si>
  <si>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</si>
  <si>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</si>
  <si>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</si>
  <si>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</si>
  <si>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</si>
  <si>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</si>
  <si>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</si>
  <si>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</si>
  <si>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</si>
  <si>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</si>
  <si>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</si>
  <si>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</si>
  <si>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</si>
  <si>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</si>
  <si>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</si>
  <si>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</si>
  <si>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</si>
  <si>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</si>
  <si>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</si>
  <si>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</si>
  <si>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</si>
  <si>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</si>
  <si>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</si>
  <si>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</si>
  <si>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</si>
  <si>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</si>
  <si>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</si>
  <si>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</si>
  <si>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</si>
  <si>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</si>
  <si>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</si>
  <si>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</si>
  <si>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</si>
  <si>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</si>
  <si>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</si>
  <si>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</si>
  <si>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</si>
  <si>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</si>
  <si>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</si>
  <si>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</si>
  <si>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</si>
  <si>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</si>
  <si>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</si>
  <si>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</si>
  <si>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</si>
  <si>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</si>
  <si>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</si>
  <si>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</si>
  <si>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</si>
  <si>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</si>
  <si>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</si>
  <si>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</si>
  <si>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</si>
  <si>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</si>
  <si>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</si>
  <si>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</si>
  <si>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</si>
  <si>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</si>
  <si>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</si>
  <si>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</si>
  <si>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</si>
  <si>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</si>
  <si>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</si>
  <si>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</si>
  <si>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</si>
  <si>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</si>
  <si>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</si>
  <si>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</si>
  <si>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</si>
  <si>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</si>
  <si>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</si>
  <si>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</si>
  <si>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</si>
  <si>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</si>
  <si>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</si>
  <si>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</si>
  <si>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</si>
  <si>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</si>
  <si>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</si>
  <si>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</si>
  <si>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</si>
  <si>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</si>
  <si>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</si>
  <si>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</si>
  <si>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</si>
  <si>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</si>
  <si>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</si>
  <si>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</si>
  <si>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</si>
  <si>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</si>
  <si>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</si>
  <si>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</si>
  <si>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</si>
  <si>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</si>
  <si>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</si>
  <si>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</si>
  <si>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</si>
  <si>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</si>
  <si>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</si>
  <si>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</si>
  <si>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</si>
  <si>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</si>
  <si>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</si>
  <si>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</si>
  <si>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</si>
  <si>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</si>
  <si>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</si>
  <si>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</si>
  <si>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</si>
  <si>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</si>
  <si>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</si>
  <si>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</si>
  <si>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</si>
  <si>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</si>
  <si>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</si>
  <si>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</si>
  <si>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</si>
  <si>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</si>
  <si>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</si>
  <si>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</si>
  <si>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</si>
  <si>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</si>
  <si>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</si>
  <si>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</si>
  <si>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</si>
  <si>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</si>
  <si>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</si>
  <si>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</si>
  <si>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</si>
  <si>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</si>
  <si>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</si>
  <si>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</si>
  <si>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</si>
  <si>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</si>
  <si>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</si>
  <si>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</si>
  <si>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</si>
  <si>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</si>
  <si>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</si>
  <si>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</si>
  <si>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</si>
  <si>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</si>
  <si>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</si>
  <si>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</si>
  <si>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</si>
  <si>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</si>
  <si>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</si>
  <si>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</si>
  <si>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</si>
  <si>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</si>
  <si>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</si>
  <si>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</si>
  <si>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</si>
  <si>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</si>
  <si>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</si>
  <si>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</si>
  <si>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</si>
  <si>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</si>
  <si>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</si>
  <si>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</si>
  <si>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</si>
  <si>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</si>
  <si>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</si>
  <si>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</si>
  <si>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</si>
  <si>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</si>
  <si>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</si>
  <si>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</si>
  <si>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</si>
  <si>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</si>
  <si>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</si>
  <si>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</si>
  <si>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</si>
  <si>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</si>
  <si>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</si>
  <si>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</si>
  <si>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</si>
  <si>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</si>
  <si>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</si>
  <si>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</si>
  <si>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</si>
  <si>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</si>
  <si>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</si>
  <si>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</si>
  <si>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</si>
  <si>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</si>
  <si>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</si>
  <si>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</si>
  <si>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</si>
  <si>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</si>
  <si>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</si>
  <si>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</si>
  <si>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</si>
  <si>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</si>
  <si>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</si>
  <si>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</si>
  <si>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</si>
  <si>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</si>
  <si>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</si>
  <si>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</si>
  <si>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</si>
  <si>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</si>
  <si>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</si>
  <si>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</si>
  <si>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</si>
  <si>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</si>
  <si>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</si>
  <si>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</si>
  <si>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</si>
  <si>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</si>
  <si>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</si>
  <si>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</si>
  <si>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</si>
  <si>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</si>
  <si>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</si>
  <si>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</si>
  <si>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</si>
  <si>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</si>
  <si>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</si>
  <si>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</si>
  <si>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</si>
  <si>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</si>
  <si>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</si>
  <si>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</si>
  <si>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</si>
  <si>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</si>
  <si>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</si>
  <si>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</si>
  <si>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</si>
  <si>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</si>
  <si>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</si>
  <si>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</si>
  <si>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</si>
  <si>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</si>
  <si>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</si>
  <si>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</si>
  <si>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</si>
  <si>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</si>
  <si>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</si>
  <si>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</si>
  <si>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</si>
  <si>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</si>
  <si>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</si>
  <si>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</si>
  <si>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</si>
  <si>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</si>
  <si>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</si>
  <si>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</si>
  <si>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</si>
  <si>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</si>
  <si>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</si>
  <si>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</si>
  <si>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</si>
  <si>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</si>
  <si>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</si>
  <si>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</si>
  <si>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</si>
  <si>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</si>
  <si>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</si>
  <si>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</si>
  <si>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</si>
  <si>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</si>
  <si>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</si>
  <si>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</si>
  <si>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</si>
  <si>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</si>
  <si>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</si>
  <si>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</si>
  <si>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</si>
  <si>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</si>
  <si>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</si>
  <si>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</si>
  <si>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</si>
  <si>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</si>
  <si>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</si>
  <si>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</si>
  <si>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</si>
  <si>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</si>
  <si>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</si>
  <si>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</si>
  <si>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</si>
  <si>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</si>
  <si>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</si>
  <si>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</si>
  <si>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</si>
  <si>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</si>
  <si>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</si>
  <si>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</si>
  <si>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</si>
  <si>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</si>
  <si>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</si>
  <si>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</si>
  <si>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</si>
  <si>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</si>
  <si>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</si>
  <si>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</si>
  <si>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</si>
  <si>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</si>
  <si>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</si>
  <si>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</si>
  <si>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</si>
  <si>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</si>
  <si>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</si>
  <si>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</si>
  <si>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</si>
  <si>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</si>
  <si>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</si>
  <si>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</si>
  <si>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</si>
  <si>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</si>
  <si>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</si>
  <si>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</si>
  <si>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</si>
  <si>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</si>
  <si>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</si>
  <si>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</si>
  <si>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</si>
  <si>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</si>
  <si>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</si>
  <si>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</si>
  <si>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</si>
  <si>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</si>
  <si>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</si>
  <si>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</si>
  <si>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</si>
  <si>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</si>
  <si>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</si>
  <si>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</si>
  <si>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</si>
  <si>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</si>
  <si>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</si>
  <si>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</si>
  <si>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</si>
  <si>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</si>
  <si>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</si>
  <si>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</si>
  <si>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</si>
  <si>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</si>
  <si>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</si>
  <si>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</si>
  <si>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</si>
  <si>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</si>
  <si>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</si>
  <si>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</si>
  <si>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</si>
  <si>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</si>
  <si>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</si>
  <si>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</si>
  <si>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</si>
  <si>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</si>
  <si>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</si>
  <si>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</si>
  <si>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</si>
  <si>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</si>
  <si>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</si>
  <si>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</si>
  <si>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</si>
  <si>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</si>
  <si>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</si>
  <si>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</si>
  <si>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</si>
  <si>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</si>
  <si>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</si>
  <si>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</si>
  <si>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</si>
  <si>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</si>
  <si>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</si>
  <si>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</si>
  <si>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</si>
  <si>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</si>
  <si>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</si>
  <si>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</si>
  <si>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</si>
  <si>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</si>
  <si>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</si>
  <si>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</si>
  <si>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</si>
  <si>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</si>
  <si>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</si>
  <si>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</si>
  <si>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</si>
  <si>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</si>
  <si>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</si>
  <si>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</si>
  <si>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</si>
  <si>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</si>
  <si>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</si>
  <si>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</si>
  <si>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</si>
  <si>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</si>
  <si>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</si>
  <si>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</si>
  <si>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</si>
  <si>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</si>
  <si>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</si>
  <si>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</si>
  <si>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</si>
  <si>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</si>
  <si>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</si>
  <si>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</si>
  <si>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</si>
  <si>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</si>
  <si>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</si>
  <si>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</si>
  <si>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</si>
  <si>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</si>
  <si>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</si>
  <si>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</si>
  <si>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</si>
  <si>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</si>
  <si>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</si>
  <si>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</si>
  <si>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</si>
  <si>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</si>
  <si>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</si>
  <si>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</si>
  <si>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</si>
  <si>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</si>
  <si>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</si>
  <si>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</si>
  <si>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</si>
  <si>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</si>
  <si>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</si>
  <si>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</si>
  <si>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</si>
  <si>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</si>
  <si>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</si>
  <si>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</si>
  <si>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</si>
  <si>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</si>
  <si>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</si>
  <si>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</si>
  <si>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</si>
  <si>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</si>
  <si>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</si>
  <si>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</si>
  <si>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</si>
  <si>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</si>
  <si>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</si>
  <si>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</si>
  <si>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</si>
  <si>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</si>
  <si>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</si>
  <si>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</si>
  <si>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</si>
  <si>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</si>
  <si>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</si>
  <si>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</si>
  <si>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</si>
  <si>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</si>
  <si>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</si>
  <si>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</si>
  <si>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</si>
  <si>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</si>
  <si>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</si>
  <si>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</si>
  <si>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</si>
  <si>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</si>
  <si>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</si>
  <si>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</si>
  <si>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</si>
  <si>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</si>
  <si>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</si>
  <si>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</si>
  <si>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</si>
  <si>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</si>
  <si>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</si>
  <si>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</si>
  <si>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</si>
  <si>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</si>
  <si>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</si>
  <si>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</si>
  <si>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</si>
  <si>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</si>
  <si>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</si>
  <si>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</si>
  <si>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</si>
  <si>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</si>
  <si>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</si>
  <si>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</si>
  <si>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</si>
  <si>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</si>
  <si>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</si>
  <si>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</si>
  <si>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</si>
  <si>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</si>
  <si>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</si>
  <si>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</si>
  <si>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</si>
  <si>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</si>
  <si>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</si>
  <si>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</si>
  <si>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</si>
  <si>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</si>
  <si>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</si>
  <si>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</si>
  <si>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</si>
  <si>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</si>
  <si>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</si>
  <si>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</si>
  <si>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</si>
  <si>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</si>
  <si>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</si>
  <si>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</si>
  <si>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</si>
  <si>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</si>
  <si>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</si>
  <si>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</si>
  <si>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</si>
  <si>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</si>
  <si>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</si>
  <si>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</si>
  <si>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</si>
  <si>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</si>
  <si>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</si>
  <si>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</si>
  <si>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</si>
  <si>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</si>
  <si>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</si>
  <si>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</si>
  <si>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</si>
  <si>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</si>
  <si>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</si>
  <si>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</si>
  <si>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</si>
  <si>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</si>
  <si>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</si>
  <si>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</si>
  <si>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</si>
  <si>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</si>
  <si>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</si>
  <si>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</si>
  <si>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</si>
  <si>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</si>
  <si>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</si>
  <si>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</si>
  <si>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</si>
  <si>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</si>
  <si>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</si>
  <si>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</si>
  <si>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</si>
  <si>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</si>
  <si>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</si>
  <si>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</si>
  <si>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</si>
  <si>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</si>
  <si>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</si>
  <si>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</si>
  <si>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</si>
  <si>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</si>
  <si>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</si>
  <si>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</si>
  <si>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</si>
  <si>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</si>
  <si>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</si>
  <si>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</si>
  <si>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</si>
  <si>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</si>
  <si>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</si>
  <si>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</si>
  <si>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</si>
  <si>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</si>
  <si>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</si>
  <si>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</si>
  <si>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</si>
  <si>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</si>
  <si>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</si>
  <si>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</si>
  <si>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</si>
  <si>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</si>
  <si>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</si>
  <si>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</si>
  <si>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</si>
  <si>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</si>
  <si>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</si>
  <si>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</si>
  <si>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</si>
  <si>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</si>
  <si>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</si>
  <si>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</si>
  <si>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</si>
  <si>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</si>
  <si>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</si>
  <si>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</si>
  <si>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</si>
  <si>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</si>
  <si>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</si>
  <si>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</si>
  <si>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</si>
  <si>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</si>
  <si>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</si>
  <si>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</si>
  <si>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</si>
  <si>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</si>
  <si>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</si>
  <si>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</si>
  <si>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</si>
  <si>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</si>
  <si>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</si>
  <si>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</si>
  <si>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</si>
  <si>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</si>
  <si>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</si>
  <si>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</si>
  <si>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</si>
  <si>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</si>
  <si>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</si>
  <si>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</si>
  <si>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</si>
  <si>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</si>
  <si>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</si>
  <si>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</si>
  <si>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</si>
  <si>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</si>
  <si>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</si>
  <si>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</si>
  <si>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</si>
  <si>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</si>
  <si>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</si>
  <si>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</si>
  <si>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</si>
  <si>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</si>
  <si>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</si>
  <si>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</si>
  <si>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</si>
  <si>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</si>
  <si>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</si>
  <si>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</si>
  <si>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</si>
  <si>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</si>
  <si>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</si>
  <si>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</si>
  <si>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</si>
  <si>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</si>
  <si>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</si>
  <si>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</si>
  <si>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</si>
  <si>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</si>
  <si>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</si>
  <si>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</si>
  <si>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</si>
  <si>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</si>
  <si>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</si>
  <si>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</si>
  <si>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</si>
  <si>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</si>
  <si>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</si>
  <si>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</si>
  <si>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</si>
  <si>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</si>
  <si>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</si>
  <si>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</si>
  <si>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</si>
  <si>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</si>
  <si>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</si>
  <si>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</si>
  <si>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</si>
  <si>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</si>
  <si>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</si>
  <si>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</si>
  <si>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</si>
  <si>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</si>
  <si>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</si>
  <si>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</si>
  <si>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</si>
  <si>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</si>
  <si>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</si>
  <si>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</si>
  <si>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</si>
  <si>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</si>
  <si>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</si>
  <si>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</si>
  <si>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</si>
  <si>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</si>
  <si>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</si>
  <si>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</si>
  <si>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</si>
  <si>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</si>
  <si>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</si>
  <si>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</si>
  <si>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</si>
  <si>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</si>
  <si>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</si>
  <si>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</si>
  <si>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</si>
  <si>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</si>
  <si>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</si>
  <si>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</si>
  <si>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</si>
  <si>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</si>
  <si>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</si>
  <si>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</si>
  <si>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</si>
  <si>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</si>
  <si>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</si>
  <si>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</si>
  <si>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</si>
  <si>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</si>
  <si>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</si>
  <si>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</si>
  <si>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</si>
  <si>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</si>
  <si>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</si>
  <si>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</si>
  <si>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</si>
  <si>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</si>
  <si>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</si>
  <si>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</si>
  <si>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</si>
  <si>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</si>
  <si>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</si>
  <si>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</si>
  <si>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</si>
  <si>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</si>
  <si>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</si>
  <si>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</si>
  <si>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</si>
  <si>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</si>
  <si>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</si>
  <si>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</si>
  <si>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</si>
  <si>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</si>
  <si>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</si>
  <si>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</si>
  <si>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</si>
  <si>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</si>
  <si>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</si>
  <si>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</si>
  <si>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</si>
  <si>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</si>
  <si>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</si>
  <si>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</si>
  <si>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</si>
  <si>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</si>
  <si>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</si>
  <si>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</si>
  <si>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</si>
  <si>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</si>
  <si>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</si>
  <si>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</si>
  <si>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</si>
  <si>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</si>
  <si>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</si>
  <si>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</si>
  <si>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</si>
  <si>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</si>
  <si>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</si>
  <si>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</si>
  <si>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</si>
  <si>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</si>
  <si>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</si>
  <si>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</si>
  <si>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</si>
  <si>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</si>
  <si>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</si>
  <si>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</si>
  <si>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</si>
  <si>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</si>
  <si>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</si>
  <si>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</si>
  <si>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</si>
  <si>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</si>
  <si>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</si>
  <si>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</si>
  <si>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</si>
  <si>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</si>
  <si>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</si>
  <si>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</si>
  <si>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</si>
  <si>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</si>
  <si>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</si>
  <si>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</si>
  <si>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</si>
  <si>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</si>
  <si>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</si>
  <si>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</si>
  <si>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</si>
  <si>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</si>
  <si>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</si>
  <si>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</si>
  <si>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</si>
  <si>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</si>
  <si>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</si>
  <si>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</si>
  <si>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</si>
  <si>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</si>
  <si>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</si>
  <si>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</si>
  <si>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</si>
  <si>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</si>
  <si>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</si>
  <si>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</si>
  <si>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</si>
  <si>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</si>
  <si>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</si>
  <si>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</si>
  <si>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</si>
  <si>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</si>
  <si>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</si>
  <si>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</si>
  <si>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</si>
  <si>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</si>
  <si>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</si>
  <si>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</si>
  <si>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</si>
  <si>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</si>
  <si>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</si>
  <si>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</si>
  <si>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</si>
  <si>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</si>
  <si>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</si>
  <si>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</si>
  <si>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</si>
  <si>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</si>
  <si>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</si>
  <si>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</si>
  <si>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</si>
  <si>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</si>
  <si>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</si>
  <si>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</si>
  <si>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</si>
  <si>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</si>
  <si>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</si>
  <si>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</si>
  <si>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</si>
  <si>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</si>
  <si>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</si>
  <si>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</si>
  <si>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</si>
  <si>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</si>
  <si>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</si>
  <si>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</si>
  <si>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</si>
  <si>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</si>
  <si>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</si>
  <si>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</si>
  <si>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</si>
  <si>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</si>
  <si>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</si>
  <si>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</si>
  <si>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</si>
  <si>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</si>
  <si>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</si>
  <si>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</si>
  <si>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</si>
  <si>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</si>
  <si>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</si>
  <si>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</si>
  <si>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</si>
  <si>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</si>
  <si>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</si>
  <si>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</si>
  <si>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</si>
  <si>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</si>
  <si>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</si>
  <si>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</si>
  <si>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</si>
  <si>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</si>
  <si>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</si>
  <si>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</si>
  <si>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</si>
  <si>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</si>
  <si>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</si>
  <si>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</si>
  <si>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</si>
  <si>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</si>
  <si>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</si>
  <si>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</si>
  <si>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</si>
  <si>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</si>
  <si>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</si>
  <si>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</si>
  <si>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</si>
  <si>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</si>
  <si>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</si>
  <si>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</si>
  <si>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</si>
  <si>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</si>
  <si>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</si>
  <si>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</si>
  <si>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</si>
  <si>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</si>
  <si>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</si>
  <si>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</si>
  <si>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</si>
  <si>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</si>
  <si>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</si>
  <si>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</si>
  <si>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</si>
  <si>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</si>
  <si>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</si>
  <si>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</si>
  <si>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</si>
  <si>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</si>
  <si>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</si>
  <si>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</si>
  <si>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</si>
  <si>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</si>
  <si>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</si>
  <si>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</si>
  <si>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</si>
  <si>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</si>
  <si>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</si>
  <si>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</si>
  <si>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</si>
  <si>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</si>
  <si>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</si>
  <si>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</si>
  <si>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</si>
  <si>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</si>
  <si>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</si>
  <si>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</si>
  <si>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</si>
  <si>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</si>
  <si>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</si>
  <si>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</si>
  <si>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</si>
  <si>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</si>
  <si>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</si>
  <si>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</si>
  <si>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</si>
  <si>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</si>
  <si>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</si>
  <si>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</si>
  <si>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</si>
  <si>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</si>
  <si>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</si>
  <si>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</si>
  <si>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</si>
  <si>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</si>
  <si>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</si>
  <si>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</si>
  <si>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</si>
  <si>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</si>
  <si>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</si>
  <si>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</si>
  <si>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</si>
  <si>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</si>
  <si>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</si>
  <si>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</si>
  <si>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</si>
  <si>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</si>
  <si>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</si>
  <si>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</si>
  <si>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</si>
  <si>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</si>
  <si>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</si>
  <si>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</si>
  <si>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</si>
  <si>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</si>
  <si>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</si>
  <si>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</si>
  <si>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</si>
  <si>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</si>
  <si>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</si>
  <si>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</si>
  <si>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</si>
  <si>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</si>
  <si>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</si>
  <si>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</si>
  <si>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</si>
  <si>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</si>
  <si>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</si>
  <si>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</si>
  <si>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</si>
  <si>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</si>
  <si>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</si>
  <si>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</si>
  <si>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</si>
  <si>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</si>
  <si>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</si>
  <si>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</si>
  <si>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</si>
  <si>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</si>
  <si>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</si>
  <si>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</si>
  <si>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</si>
  <si>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</si>
  <si>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</si>
  <si>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</si>
  <si>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</si>
  <si>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</si>
  <si>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</si>
  <si>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</si>
  <si>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</si>
  <si>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</si>
  <si>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</si>
  <si>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</si>
  <si>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</si>
  <si>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</si>
  <si>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</si>
  <si>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</si>
  <si>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</si>
  <si>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</si>
  <si>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</si>
  <si>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</si>
  <si>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</si>
  <si>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</si>
  <si>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</si>
  <si>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</si>
  <si>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</si>
  <si>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</si>
  <si>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</si>
  <si>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</si>
  <si>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</si>
  <si>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</si>
  <si>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</si>
  <si>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</si>
  <si>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</si>
  <si>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</si>
  <si>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</si>
  <si>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</si>
  <si>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</si>
  <si>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</si>
  <si>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</si>
  <si>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</si>
  <si>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</si>
  <si>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</si>
  <si>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</si>
  <si>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</si>
  <si>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</si>
  <si>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</si>
  <si>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</si>
  <si>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</si>
  <si>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</si>
  <si>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</si>
  <si>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</si>
  <si>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</si>
  <si>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</si>
  <si>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</si>
  <si>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</si>
  <si>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</si>
  <si>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</si>
  <si>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</si>
  <si>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</si>
  <si>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</si>
  <si>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</si>
  <si>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</si>
  <si>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</si>
  <si>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</si>
  <si>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</si>
  <si>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</si>
  <si>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</si>
  <si>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</si>
  <si>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</si>
  <si>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</si>
  <si>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</si>
  <si>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</si>
  <si>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</si>
  <si>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</si>
  <si>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</si>
  <si>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</si>
  <si>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</si>
  <si>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</si>
  <si>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</si>
  <si>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</si>
  <si>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</si>
  <si>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</si>
  <si>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</si>
  <si>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</si>
  <si>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</si>
  <si>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</si>
  <si>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</si>
  <si>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</si>
  <si>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</si>
  <si>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</si>
  <si>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</si>
  <si>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</si>
  <si>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</si>
  <si>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</si>
  <si>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</si>
  <si>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</si>
  <si>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</si>
  <si>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</si>
  <si>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</si>
  <si>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</si>
  <si>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</si>
  <si>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</si>
  <si>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</si>
  <si>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</si>
  <si>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</si>
  <si>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</si>
  <si>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</si>
  <si>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</si>
  <si>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</si>
  <si>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</si>
  <si>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</si>
  <si>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</si>
  <si>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</si>
  <si>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</si>
  <si>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</si>
  <si>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</si>
  <si>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</si>
  <si>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</si>
  <si>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</si>
  <si>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</si>
  <si>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</si>
  <si>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</si>
  <si>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</si>
  <si>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</si>
  <si>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</si>
  <si>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</si>
  <si>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</si>
  <si>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</si>
  <si>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</si>
  <si>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</si>
  <si>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</si>
  <si>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</si>
  <si>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</si>
  <si>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</si>
  <si>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</si>
  <si>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</si>
  <si>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</si>
  <si>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</si>
  <si>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</si>
  <si>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</si>
  <si>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</si>
  <si>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</si>
  <si>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</si>
  <si>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</si>
  <si>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</si>
  <si>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</si>
  <si>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</si>
  <si>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</si>
  <si>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</si>
  <si>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</si>
  <si>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</si>
  <si>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</si>
  <si>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</si>
  <si>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</si>
  <si>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</si>
  <si>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</si>
  <si>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</si>
  <si>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</si>
  <si>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</si>
  <si>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</si>
  <si>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</si>
  <si>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</si>
  <si>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</si>
  <si>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</si>
  <si>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</si>
  <si>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</si>
  <si>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</si>
  <si>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</si>
  <si>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</si>
  <si>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</si>
  <si>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</si>
  <si>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</si>
  <si>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</si>
  <si>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</si>
  <si>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</si>
  <si>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</si>
  <si>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</si>
  <si>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</si>
  <si>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</si>
  <si>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</si>
  <si>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</si>
  <si>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</si>
  <si>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</si>
  <si>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</si>
  <si>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</si>
  <si>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</si>
  <si>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</si>
  <si>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</si>
  <si>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</si>
  <si>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</si>
  <si>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</si>
  <si>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</si>
  <si>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</si>
  <si>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</si>
  <si>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</si>
  <si>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</si>
  <si>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</si>
  <si>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</si>
  <si>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</si>
  <si>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</si>
  <si>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</si>
  <si>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</si>
  <si>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</si>
  <si>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</si>
  <si>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</si>
  <si>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</si>
  <si>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</si>
  <si>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</si>
  <si>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</si>
  <si>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</si>
  <si>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</si>
  <si>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</si>
  <si>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</si>
  <si>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</si>
  <si>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</si>
  <si>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</si>
  <si>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</si>
  <si>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</si>
  <si>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</si>
  <si>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</si>
  <si>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</si>
  <si>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</si>
  <si>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</si>
  <si>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</si>
  <si>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t>K23</t>
  </si>
  <si>
    <t>frage_hilfetext</t>
  </si>
  <si>
    <t>z.B. Export per PDF, in der Lohnbuchhaltung, im ERP-System, ...</t>
  </si>
  <si>
    <t>Sollen die Daten auch außerhalb des Programms weiter verarbeitet werden können?</t>
  </si>
  <si>
    <t>Mehrfachauswahl möglich</t>
  </si>
  <si>
    <t>z.B. Schicht- und Urlaubsplanung, digitale Personalakte, …</t>
  </si>
  <si>
    <t>Über welches Medium soll die Arbeitszeit erfasst werden?</t>
  </si>
  <si>
    <t>Benötigen Sie zusätzliche Funktionen über die reine Zeiterfassung hinaus?</t>
  </si>
  <si>
    <t>Soll Geofencing möglich sein?</t>
  </si>
  <si>
    <t>Programm erlaubt Stempelung nur innerhalb eines vorher definierten Standortes</t>
  </si>
  <si>
    <t>Benötigen Sie Support?</t>
  </si>
  <si>
    <t>z.B. Email, Telefon</t>
  </si>
  <si>
    <t>Muss die Arbeitszeiterfassung den aktuellen rechtlichen Vorgaben und insbesondere die des Europäischen Gerichtshofs und des Bundesarbeitsgerichts entsprechen?</t>
  </si>
  <si>
    <t>rechtliche Vorgaben (14. Mai 2019 (Rechtssache C-55/18), 13. September 2022 (Az. 1 ABR 22/21)): Der Arbeitgeber muss ein objektives, verlässliches und zugängliches System zur Verfügung stellen, dass ermöglicht, den Beginn, das Ende und die Dauer der täglichen Arbeitszeit zu dokumentieren.</t>
  </si>
  <si>
    <t>K24</t>
  </si>
  <si>
    <t>K25</t>
  </si>
  <si>
    <t>Zeiterfassung und Personaleinsatzplanung</t>
  </si>
  <si>
    <t>mittelständige und große Unternehmen</t>
  </si>
  <si>
    <t>Smartphone, Tablet, PC, Terminal</t>
  </si>
  <si>
    <t>rechtskonforme Reisekostenabrechnung möglich, über Web oder als Lokale Lösung verfügbar, Standorterfassung bei Buchung möglich</t>
  </si>
  <si>
    <t>Basismodell: 5 € / Nutzer / Monat, kostenlose Version für einen Einzelzugang</t>
  </si>
  <si>
    <t>digitale Zeiterfassung und Personalmanagement</t>
  </si>
  <si>
    <t>bis zu 10 Nutzer kostenlos, Standard: 8,40 € / Nutzer / Monat</t>
  </si>
  <si>
    <t>Smartphone, Tablet</t>
  </si>
  <si>
    <t>Standort kann bei Bedarf bei Stempelung mit erfasst werden, Führung eines Bautagebuchs möcglich mit Dokumentation von Leistungen, Zeiten, Kommentaren und Fotos</t>
  </si>
  <si>
    <t>Handwerker, Bauunternehmen</t>
  </si>
  <si>
    <t>Zeiterfassungs - und Arbetistabellenapp</t>
  </si>
  <si>
    <t>App für Smartphone und Desktop</t>
  </si>
  <si>
    <t xml:space="preserve">bis 5 Nutzer kostenlos, </t>
  </si>
  <si>
    <t>Auto-Tracker: besuchte Apps und Webseiten können während der Arbeitszeit dokumentiert werden, GPS Verfolgung während der Arbeitszeit möglich</t>
  </si>
  <si>
    <t>Landwirtschaft</t>
  </si>
  <si>
    <t>Zeiterfassung und Verwaltung von Arbeitskräften</t>
  </si>
  <si>
    <t>Mobilgerät, Desktop, Browser</t>
  </si>
  <si>
    <t>GPS-Tracking möglich</t>
  </si>
  <si>
    <t>kostenlose Version für einen Einzelzugang</t>
  </si>
  <si>
    <t>frage_information</t>
  </si>
  <si>
    <t>Hallo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</si>
</sst>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elm-software.de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hyperlink" Target="https://everhour.com/de" TargetMode="Externa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66" Type="http://schemas.openxmlformats.org/officeDocument/2006/relationships/vmlDrawing" Target="../drawings/vmlDrawing1.vm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hyperlink" Target="https://factorialhr.de/" TargetMode="Externa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67" Type="http://schemas.openxmlformats.org/officeDocument/2006/relationships/comments" Target="../comments1.xm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hyperlink" Target="https://123erfasst.de/personal/" TargetMode="External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39" Type="http://schemas.openxmlformats.org/officeDocument/2006/relationships/hyperlink" Target="https://interflex.com/loesungen/zeiterfassung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734</v>
      </c>
      <c r="C2" s="31" t="s">
        <v>1636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1635</v>
      </c>
      <c r="C3" s="31" t="s">
        <v>740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752</v>
      </c>
      <c r="C4" s="31" t="s">
        <v>1631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1632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1662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1654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1655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1657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1656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496</v>
      </c>
      <c r="C11" s="31" t="s">
        <v>1634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753</v>
      </c>
      <c r="C12" s="30" t="s">
        <v>1627</v>
      </c>
      <c r="D12" s="31" t="s">
        <v>1633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1630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1628</v>
      </c>
      <c r="D14" s="31" t="s">
        <v>1629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751</v>
      </c>
      <c r="C15" s="32" t="s">
        <v>1637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1640</v>
      </c>
      <c r="D16" s="33" t="s">
        <v>1639</v>
      </c>
    </row>
    <row r="17" spans="3:4" x14ac:dyDescent="0.3">
      <c r="C17" t="s">
        <v>1641</v>
      </c>
      <c r="D17" s="33" t="s">
        <v>1642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zoomScale="97" zoomScaleNormal="97" workbookViewId="0">
      <pane xSplit="3" ySplit="9" topLeftCell="D55" activePane="bottomRight" state="frozen"/>
      <selection pane="topRight" activeCell="D1" sqref="D1"/>
      <selection pane="bottomLeft" activeCell="A12" sqref="A12"/>
      <selection pane="bottomRight" activeCell="C65" sqref="C65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734</v>
      </c>
      <c r="B1" s="17" t="s">
        <v>763</v>
      </c>
      <c r="C1" s="17"/>
      <c r="D1" s="17"/>
      <c r="E1" s="17"/>
      <c r="F1" s="17"/>
      <c r="G1" s="17"/>
    </row>
    <row r="2" spans="1:53" ht="30.05" x14ac:dyDescent="0.3">
      <c r="A2" s="27" t="s">
        <v>748</v>
      </c>
      <c r="B2" s="17" t="s">
        <v>740</v>
      </c>
      <c r="C2" s="17"/>
      <c r="D2" s="17"/>
      <c r="E2" s="17"/>
      <c r="F2" s="17"/>
      <c r="G2" s="17"/>
    </row>
    <row r="3" spans="1:53" x14ac:dyDescent="0.3">
      <c r="A3" s="16" t="s">
        <v>747</v>
      </c>
      <c r="B3" s="18">
        <v>46178</v>
      </c>
      <c r="C3" s="17"/>
      <c r="D3" s="17"/>
      <c r="E3" s="17"/>
      <c r="F3" s="17"/>
      <c r="G3" s="17"/>
    </row>
    <row r="4" spans="1:53" x14ac:dyDescent="0.3">
      <c r="A4" s="19" t="s">
        <v>743</v>
      </c>
      <c r="B4" s="20" t="s">
        <v>744</v>
      </c>
      <c r="C4" s="17"/>
      <c r="D4" s="17"/>
      <c r="E4" s="17"/>
      <c r="F4" s="17"/>
      <c r="G4" s="17"/>
    </row>
    <row r="5" spans="1:53" x14ac:dyDescent="0.3">
      <c r="A5" s="17"/>
      <c r="B5" s="20" t="s">
        <v>745</v>
      </c>
      <c r="C5" s="17"/>
      <c r="D5" s="17"/>
      <c r="E5" s="17"/>
      <c r="F5" s="17"/>
      <c r="G5" s="17"/>
    </row>
    <row r="6" spans="1:53" x14ac:dyDescent="0.3">
      <c r="A6" s="17"/>
      <c r="B6" s="20" t="s">
        <v>746</v>
      </c>
      <c r="C6" s="17"/>
      <c r="D6" s="17"/>
      <c r="E6" s="17"/>
      <c r="F6" s="17"/>
      <c r="G6" s="17"/>
    </row>
    <row r="7" spans="1:53" x14ac:dyDescent="0.3">
      <c r="A7" s="17"/>
      <c r="B7" s="21" t="s">
        <v>1638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519</v>
      </c>
      <c r="L8" s="6" t="s">
        <v>538</v>
      </c>
      <c r="M8" s="6" t="s">
        <v>401</v>
      </c>
      <c r="N8" s="6" t="s">
        <v>402</v>
      </c>
      <c r="O8" s="6" t="s">
        <v>520</v>
      </c>
      <c r="P8" s="6" t="s">
        <v>521</v>
      </c>
      <c r="Q8" s="6" t="s">
        <v>403</v>
      </c>
      <c r="R8" s="6" t="s">
        <v>539</v>
      </c>
      <c r="S8" s="6" t="s">
        <v>404</v>
      </c>
      <c r="T8" s="6" t="s">
        <v>522</v>
      </c>
      <c r="U8" s="6" t="s">
        <v>523</v>
      </c>
      <c r="V8" s="6" t="s">
        <v>540</v>
      </c>
      <c r="W8" s="6" t="s">
        <v>405</v>
      </c>
      <c r="X8" s="6" t="s">
        <v>406</v>
      </c>
      <c r="Y8" s="6" t="s">
        <v>524</v>
      </c>
      <c r="Z8" s="6" t="s">
        <v>525</v>
      </c>
      <c r="AA8" s="6" t="s">
        <v>407</v>
      </c>
      <c r="AB8" s="6" t="s">
        <v>408</v>
      </c>
      <c r="AC8" s="6" t="s">
        <v>547</v>
      </c>
      <c r="AD8" s="6" t="s">
        <v>546</v>
      </c>
      <c r="AE8" s="6" t="s">
        <v>545</v>
      </c>
      <c r="AF8" s="6" t="s">
        <v>544</v>
      </c>
      <c r="AG8" s="6" t="s">
        <v>543</v>
      </c>
      <c r="AH8" s="6" t="s">
        <v>542</v>
      </c>
      <c r="AI8" s="6" t="s">
        <v>541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1752</v>
      </c>
      <c r="AW8" s="6" t="s">
        <v>1766</v>
      </c>
      <c r="AX8" s="6" t="s">
        <v>1767</v>
      </c>
      <c r="AY8" s="15"/>
    </row>
    <row r="9" spans="1:53" s="6" customFormat="1" ht="45.1" x14ac:dyDescent="0.3">
      <c r="A9" s="23" t="s">
        <v>735</v>
      </c>
      <c r="B9" s="24" t="s">
        <v>0</v>
      </c>
      <c r="C9" s="24" t="s">
        <v>739</v>
      </c>
      <c r="D9" s="24" t="s">
        <v>1</v>
      </c>
      <c r="E9" s="24" t="s">
        <v>2</v>
      </c>
      <c r="F9" s="24" t="s">
        <v>496</v>
      </c>
      <c r="G9" s="24" t="s">
        <v>495</v>
      </c>
      <c r="H9" s="25" t="s">
        <v>749</v>
      </c>
      <c r="I9" s="26" t="s">
        <v>527</v>
      </c>
      <c r="J9" s="26" t="s">
        <v>528</v>
      </c>
      <c r="K9" s="26" t="s">
        <v>1747</v>
      </c>
      <c r="L9" s="26" t="s">
        <v>421</v>
      </c>
      <c r="M9" s="26" t="s">
        <v>537</v>
      </c>
      <c r="N9" s="26" t="s">
        <v>680</v>
      </c>
      <c r="O9" s="26" t="s">
        <v>422</v>
      </c>
      <c r="P9" s="26" t="s">
        <v>423</v>
      </c>
      <c r="Q9" s="26" t="s">
        <v>424</v>
      </c>
      <c r="R9" s="26" t="s">
        <v>492</v>
      </c>
      <c r="S9" s="26" t="s">
        <v>682</v>
      </c>
      <c r="T9" s="26" t="s">
        <v>1751</v>
      </c>
      <c r="U9" s="26" t="s">
        <v>1750</v>
      </c>
      <c r="V9" s="26" t="s">
        <v>425</v>
      </c>
      <c r="W9" s="26" t="s">
        <v>426</v>
      </c>
      <c r="X9" s="26" t="s">
        <v>518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529</v>
      </c>
      <c r="AM9" s="35" t="s">
        <v>530</v>
      </c>
      <c r="AN9" s="26" t="s">
        <v>1718</v>
      </c>
      <c r="AO9" s="26" t="s">
        <v>440</v>
      </c>
      <c r="AP9" s="26" t="s">
        <v>487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531</v>
      </c>
      <c r="AX9" s="26" t="s">
        <v>1695</v>
      </c>
      <c r="AY9" s="28" t="s">
        <v>736</v>
      </c>
      <c r="AZ9" s="29" t="s">
        <v>737</v>
      </c>
      <c r="BA9" s="29" t="s">
        <v>738</v>
      </c>
    </row>
    <row r="10" spans="1:53" x14ac:dyDescent="0.3">
      <c r="A10" s="1" t="s">
        <v>741</v>
      </c>
      <c r="B10" s="1" t="s">
        <v>4</v>
      </c>
      <c r="C10" s="1" t="s">
        <v>81</v>
      </c>
      <c r="D10" s="3" t="s">
        <v>679</v>
      </c>
      <c r="E10" s="11" t="s">
        <v>278</v>
      </c>
      <c r="F10" s="3" t="s">
        <v>500</v>
      </c>
      <c r="G10" s="3" t="s">
        <v>508</v>
      </c>
      <c r="H10" s="1" t="s">
        <v>765</v>
      </c>
      <c r="I10" s="1" t="s">
        <v>467</v>
      </c>
      <c r="J10" s="1" t="s">
        <v>466</v>
      </c>
      <c r="K10" s="1" t="s">
        <v>467</v>
      </c>
      <c r="M10" s="1" t="s">
        <v>467</v>
      </c>
      <c r="N10" s="1" t="s">
        <v>466</v>
      </c>
      <c r="P10" s="1"/>
      <c r="Q10" s="1" t="s">
        <v>758</v>
      </c>
      <c r="R10" s="1" t="s">
        <v>466</v>
      </c>
      <c r="S10" s="3" t="s">
        <v>262</v>
      </c>
      <c r="T10" s="1" t="s">
        <v>466</v>
      </c>
      <c r="U10" s="1"/>
      <c r="V10" s="1" t="s">
        <v>466</v>
      </c>
      <c r="W10" s="1" t="s">
        <v>466</v>
      </c>
      <c r="X10" s="1"/>
      <c r="Y10" s="1" t="s">
        <v>466</v>
      </c>
      <c r="Z10" s="1" t="s">
        <v>467</v>
      </c>
      <c r="AB10" s="1" t="s">
        <v>466</v>
      </c>
      <c r="AC10" s="1" t="s">
        <v>466</v>
      </c>
      <c r="AD10" s="1"/>
      <c r="AE10" s="1"/>
      <c r="AF10" s="1" t="s">
        <v>466</v>
      </c>
      <c r="AG10" s="1" t="s">
        <v>466</v>
      </c>
      <c r="AH10" s="1"/>
      <c r="AI10" s="1" t="s">
        <v>466</v>
      </c>
      <c r="AK10" s="3" t="s">
        <v>479</v>
      </c>
      <c r="AL10" s="1" t="s">
        <v>466</v>
      </c>
      <c r="AM10" t="s">
        <v>467</v>
      </c>
      <c r="AN10" s="1"/>
      <c r="AO10" s="1"/>
      <c r="AP10" s="1"/>
      <c r="AQ10" s="1" t="s">
        <v>466</v>
      </c>
      <c r="AR10" s="1" t="s">
        <v>466</v>
      </c>
      <c r="AS10" s="1"/>
      <c r="AT10" s="1"/>
      <c r="AU10" s="1"/>
      <c r="AV10" s="1"/>
      <c r="AX10" s="1" t="s">
        <v>1713</v>
      </c>
      <c r="AY10" s="14">
        <v>46099</v>
      </c>
      <c r="AZ10" s="3" t="s">
        <v>740</v>
      </c>
    </row>
    <row r="11" spans="1:53" x14ac:dyDescent="0.3">
      <c r="A11" s="1" t="s">
        <v>741</v>
      </c>
      <c r="B11" s="1" t="s">
        <v>5</v>
      </c>
      <c r="C11" s="1" t="s">
        <v>82</v>
      </c>
      <c r="D11" s="3" t="s">
        <v>601</v>
      </c>
      <c r="E11" s="11" t="s">
        <v>279</v>
      </c>
      <c r="F11" s="3" t="s">
        <v>500</v>
      </c>
      <c r="G11" s="3" t="s">
        <v>509</v>
      </c>
      <c r="H11" s="1" t="s">
        <v>765</v>
      </c>
      <c r="I11" s="1" t="s">
        <v>467</v>
      </c>
      <c r="J11" s="1" t="s">
        <v>466</v>
      </c>
      <c r="K11" s="1" t="s">
        <v>467</v>
      </c>
      <c r="M11" s="1" t="s">
        <v>467</v>
      </c>
      <c r="N11" s="1" t="s">
        <v>466</v>
      </c>
      <c r="O11" s="1" t="s">
        <v>757</v>
      </c>
      <c r="P11" s="1" t="s">
        <v>466</v>
      </c>
      <c r="Q11" s="1" t="s">
        <v>758</v>
      </c>
      <c r="R11" s="1" t="s">
        <v>466</v>
      </c>
      <c r="S11" s="3" t="s">
        <v>263</v>
      </c>
      <c r="T11" s="1" t="s">
        <v>466</v>
      </c>
      <c r="U11" s="1" t="s">
        <v>466</v>
      </c>
      <c r="V11" s="1" t="s">
        <v>466</v>
      </c>
      <c r="W11" s="1" t="s">
        <v>466</v>
      </c>
      <c r="X11" s="1"/>
      <c r="Y11" s="1" t="s">
        <v>466</v>
      </c>
      <c r="Z11" s="1" t="s">
        <v>467</v>
      </c>
      <c r="AA11" s="1" t="s">
        <v>760</v>
      </c>
      <c r="AB11" s="1" t="s">
        <v>466</v>
      </c>
      <c r="AC11" s="1" t="s">
        <v>466</v>
      </c>
      <c r="AD11" s="1" t="s">
        <v>466</v>
      </c>
      <c r="AE11" s="1"/>
      <c r="AF11" s="1" t="s">
        <v>466</v>
      </c>
      <c r="AG11" s="1" t="s">
        <v>466</v>
      </c>
      <c r="AH11" s="1" t="s">
        <v>466</v>
      </c>
      <c r="AI11" s="1" t="s">
        <v>466</v>
      </c>
      <c r="AK11" s="3" t="s">
        <v>478</v>
      </c>
      <c r="AL11" s="1" t="s">
        <v>466</v>
      </c>
      <c r="AM11" t="s">
        <v>467</v>
      </c>
      <c r="AN11" s="1"/>
      <c r="AO11" s="1" t="s">
        <v>764</v>
      </c>
      <c r="AP11" s="1"/>
      <c r="AQ11" s="1" t="s">
        <v>466</v>
      </c>
      <c r="AR11" s="1" t="s">
        <v>466</v>
      </c>
      <c r="AS11" s="1" t="s">
        <v>466</v>
      </c>
      <c r="AT11" s="1"/>
      <c r="AU11" s="1" t="s">
        <v>466</v>
      </c>
      <c r="AV11" s="1"/>
      <c r="AW11" s="3" t="s">
        <v>1690</v>
      </c>
      <c r="AX11" s="1" t="s">
        <v>1713</v>
      </c>
      <c r="AY11" s="14">
        <v>46176</v>
      </c>
      <c r="AZ11" s="3" t="s">
        <v>740</v>
      </c>
    </row>
    <row r="12" spans="1:53" x14ac:dyDescent="0.3">
      <c r="A12" s="1" t="s">
        <v>741</v>
      </c>
      <c r="B12" s="1" t="s">
        <v>6</v>
      </c>
      <c r="C12" s="1" t="s">
        <v>83</v>
      </c>
      <c r="D12" s="3" t="s">
        <v>678</v>
      </c>
      <c r="E12" s="11" t="s">
        <v>280</v>
      </c>
      <c r="F12" s="3" t="s">
        <v>501</v>
      </c>
      <c r="G12" s="3" t="s">
        <v>510</v>
      </c>
      <c r="H12" s="1" t="s">
        <v>765</v>
      </c>
      <c r="I12" s="1" t="s">
        <v>467</v>
      </c>
      <c r="J12" s="1" t="s">
        <v>466</v>
      </c>
      <c r="K12" s="1" t="s">
        <v>467</v>
      </c>
      <c r="L12" s="1" t="s">
        <v>755</v>
      </c>
      <c r="M12" s="1" t="s">
        <v>466</v>
      </c>
      <c r="N12" s="1" t="s">
        <v>466</v>
      </c>
      <c r="P12" s="1" t="s">
        <v>466</v>
      </c>
      <c r="Q12" s="1" t="s">
        <v>758</v>
      </c>
      <c r="R12" s="1" t="s">
        <v>466</v>
      </c>
      <c r="S12" s="3" t="s">
        <v>264</v>
      </c>
      <c r="T12" s="1" t="s">
        <v>466</v>
      </c>
      <c r="U12" s="1" t="s">
        <v>466</v>
      </c>
      <c r="V12" s="1" t="s">
        <v>466</v>
      </c>
      <c r="W12" s="1" t="s">
        <v>466</v>
      </c>
      <c r="X12" s="1"/>
      <c r="Y12" s="1" t="s">
        <v>466</v>
      </c>
      <c r="Z12" s="1" t="s">
        <v>467</v>
      </c>
      <c r="AA12" s="1" t="s">
        <v>760</v>
      </c>
      <c r="AB12" s="1" t="s">
        <v>466</v>
      </c>
      <c r="AC12" s="1" t="s">
        <v>466</v>
      </c>
      <c r="AD12" s="1"/>
      <c r="AE12" s="1"/>
      <c r="AF12" s="1" t="s">
        <v>466</v>
      </c>
      <c r="AG12" s="1"/>
      <c r="AH12" s="1" t="s">
        <v>466</v>
      </c>
      <c r="AI12" s="1" t="s">
        <v>466</v>
      </c>
      <c r="AK12" s="3" t="s">
        <v>477</v>
      </c>
      <c r="AL12" s="1" t="s">
        <v>466</v>
      </c>
      <c r="AM12" t="s">
        <v>467</v>
      </c>
      <c r="AN12" s="1"/>
      <c r="AO12" s="1"/>
      <c r="AP12" s="1"/>
      <c r="AQ12" s="1" t="s">
        <v>466</v>
      </c>
      <c r="AR12" s="1" t="s">
        <v>466</v>
      </c>
      <c r="AS12" s="1" t="s">
        <v>466</v>
      </c>
      <c r="AT12" s="1"/>
      <c r="AU12" s="1"/>
      <c r="AV12" s="1"/>
      <c r="AX12" s="1" t="s">
        <v>1713</v>
      </c>
      <c r="AY12" s="14">
        <v>46100</v>
      </c>
      <c r="AZ12" s="3" t="s">
        <v>740</v>
      </c>
    </row>
    <row r="13" spans="1:53" x14ac:dyDescent="0.3">
      <c r="A13" s="1" t="s">
        <v>741</v>
      </c>
      <c r="B13" s="1" t="s">
        <v>7</v>
      </c>
      <c r="C13" s="1" t="s">
        <v>84</v>
      </c>
      <c r="D13" s="3" t="s">
        <v>677</v>
      </c>
      <c r="E13" s="11" t="s">
        <v>281</v>
      </c>
      <c r="F13" s="3" t="s">
        <v>500</v>
      </c>
      <c r="G13" s="3" t="s">
        <v>511</v>
      </c>
      <c r="H13" s="1" t="s">
        <v>765</v>
      </c>
      <c r="I13" s="1" t="s">
        <v>467</v>
      </c>
      <c r="J13" s="1" t="s">
        <v>466</v>
      </c>
      <c r="K13" s="1" t="s">
        <v>467</v>
      </c>
      <c r="M13" s="1" t="s">
        <v>466</v>
      </c>
      <c r="N13" s="1" t="s">
        <v>466</v>
      </c>
      <c r="O13" s="1" t="s">
        <v>757</v>
      </c>
      <c r="P13" s="1"/>
      <c r="Q13" s="1" t="s">
        <v>758</v>
      </c>
      <c r="R13" s="1" t="s">
        <v>466</v>
      </c>
      <c r="S13" s="3" t="s">
        <v>265</v>
      </c>
      <c r="T13" s="1" t="s">
        <v>466</v>
      </c>
      <c r="U13" s="1" t="s">
        <v>466</v>
      </c>
      <c r="V13" s="1" t="s">
        <v>466</v>
      </c>
      <c r="W13" s="1" t="s">
        <v>466</v>
      </c>
      <c r="X13" s="1"/>
      <c r="Y13" s="1" t="s">
        <v>466</v>
      </c>
      <c r="Z13" s="1" t="s">
        <v>467</v>
      </c>
      <c r="AA13" s="1" t="s">
        <v>760</v>
      </c>
      <c r="AB13" s="1" t="s">
        <v>466</v>
      </c>
      <c r="AC13" s="1" t="s">
        <v>466</v>
      </c>
      <c r="AD13" s="1" t="s">
        <v>466</v>
      </c>
      <c r="AE13" s="1"/>
      <c r="AF13" s="1" t="s">
        <v>466</v>
      </c>
      <c r="AG13" s="1"/>
      <c r="AH13" s="1" t="s">
        <v>466</v>
      </c>
      <c r="AI13" s="1" t="s">
        <v>466</v>
      </c>
      <c r="AK13" s="3" t="s">
        <v>477</v>
      </c>
      <c r="AL13" s="1" t="s">
        <v>466</v>
      </c>
      <c r="AM13" t="s">
        <v>467</v>
      </c>
      <c r="AN13" s="1"/>
      <c r="AO13" s="1" t="s">
        <v>764</v>
      </c>
      <c r="AP13" s="1" t="s">
        <v>466</v>
      </c>
      <c r="AQ13" s="1" t="s">
        <v>466</v>
      </c>
      <c r="AR13" s="1" t="s">
        <v>466</v>
      </c>
      <c r="AS13" s="1" t="s">
        <v>466</v>
      </c>
      <c r="AT13" s="1"/>
      <c r="AU13" s="1" t="s">
        <v>466</v>
      </c>
      <c r="AV13" s="1"/>
      <c r="AW13" s="3" t="s">
        <v>532</v>
      </c>
      <c r="AX13" s="1" t="s">
        <v>1713</v>
      </c>
      <c r="AY13" s="14">
        <v>46100</v>
      </c>
      <c r="AZ13" s="3" t="s">
        <v>740</v>
      </c>
    </row>
    <row r="14" spans="1:53" x14ac:dyDescent="0.3">
      <c r="A14" s="1" t="s">
        <v>741</v>
      </c>
      <c r="B14" s="1" t="s">
        <v>8</v>
      </c>
      <c r="C14" s="1" t="s">
        <v>85</v>
      </c>
      <c r="D14" s="3" t="s">
        <v>676</v>
      </c>
      <c r="E14" s="11" t="s">
        <v>282</v>
      </c>
      <c r="F14" s="3" t="s">
        <v>502</v>
      </c>
      <c r="G14" s="3" t="s">
        <v>512</v>
      </c>
      <c r="H14" s="1" t="s">
        <v>765</v>
      </c>
      <c r="I14" s="1" t="s">
        <v>467</v>
      </c>
      <c r="J14" s="1" t="s">
        <v>466</v>
      </c>
      <c r="K14" s="1" t="s">
        <v>467</v>
      </c>
      <c r="L14" s="1" t="s">
        <v>754</v>
      </c>
      <c r="M14" s="1" t="s">
        <v>466</v>
      </c>
      <c r="N14" s="1" t="s">
        <v>466</v>
      </c>
      <c r="O14" s="1" t="s">
        <v>757</v>
      </c>
      <c r="P14" s="1" t="s">
        <v>466</v>
      </c>
      <c r="Q14" s="1" t="s">
        <v>758</v>
      </c>
      <c r="R14" s="1" t="s">
        <v>466</v>
      </c>
      <c r="S14" s="3" t="s">
        <v>266</v>
      </c>
      <c r="T14" s="1" t="s">
        <v>466</v>
      </c>
      <c r="U14" s="1" t="s">
        <v>466</v>
      </c>
      <c r="V14" s="1" t="s">
        <v>466</v>
      </c>
      <c r="W14" s="1"/>
      <c r="X14" s="1" t="s">
        <v>466</v>
      </c>
      <c r="Y14" s="1"/>
      <c r="Z14" s="1" t="s">
        <v>467</v>
      </c>
      <c r="AA14" s="1" t="s">
        <v>760</v>
      </c>
      <c r="AB14" s="1" t="s">
        <v>466</v>
      </c>
      <c r="AC14" s="1"/>
      <c r="AD14" s="1" t="s">
        <v>466</v>
      </c>
      <c r="AE14" s="1"/>
      <c r="AF14" s="1" t="s">
        <v>466</v>
      </c>
      <c r="AG14" s="1"/>
      <c r="AH14" s="1" t="s">
        <v>466</v>
      </c>
      <c r="AI14" s="1" t="s">
        <v>466</v>
      </c>
      <c r="AK14" s="3" t="s">
        <v>478</v>
      </c>
      <c r="AL14" s="1" t="s">
        <v>466</v>
      </c>
      <c r="AM14" t="s">
        <v>467</v>
      </c>
      <c r="AN14" s="1"/>
      <c r="AO14" s="1" t="s">
        <v>764</v>
      </c>
      <c r="AP14" s="1"/>
      <c r="AQ14" s="1" t="s">
        <v>466</v>
      </c>
      <c r="AR14" s="1" t="s">
        <v>466</v>
      </c>
      <c r="AS14" s="1" t="s">
        <v>466</v>
      </c>
      <c r="AT14" s="1"/>
      <c r="AU14" s="1"/>
      <c r="AV14" s="1"/>
      <c r="AW14" s="3" t="s">
        <v>532</v>
      </c>
      <c r="AX14" s="1" t="s">
        <v>1726</v>
      </c>
      <c r="AY14" s="14">
        <v>46101</v>
      </c>
      <c r="AZ14" s="3" t="s">
        <v>740</v>
      </c>
    </row>
    <row r="15" spans="1:53" x14ac:dyDescent="0.3">
      <c r="A15" s="1" t="s">
        <v>741</v>
      </c>
      <c r="B15" s="1" t="s">
        <v>9</v>
      </c>
      <c r="C15" s="1" t="s">
        <v>86</v>
      </c>
      <c r="D15" s="3" t="s">
        <v>675</v>
      </c>
      <c r="E15" s="11" t="s">
        <v>283</v>
      </c>
      <c r="F15" s="3" t="s">
        <v>503</v>
      </c>
      <c r="G15" s="3" t="s">
        <v>513</v>
      </c>
      <c r="H15" s="1" t="s">
        <v>765</v>
      </c>
      <c r="I15" s="1" t="s">
        <v>467</v>
      </c>
      <c r="J15" s="1" t="s">
        <v>466</v>
      </c>
      <c r="K15" s="1" t="s">
        <v>467</v>
      </c>
      <c r="M15" s="1" t="s">
        <v>467</v>
      </c>
      <c r="N15" s="1" t="s">
        <v>466</v>
      </c>
      <c r="P15" s="1"/>
      <c r="Q15" s="1" t="s">
        <v>758</v>
      </c>
      <c r="R15" s="1" t="s">
        <v>466</v>
      </c>
      <c r="S15" s="3" t="s">
        <v>267</v>
      </c>
      <c r="T15" s="1" t="s">
        <v>466</v>
      </c>
      <c r="U15" s="1"/>
      <c r="V15" s="1" t="s">
        <v>466</v>
      </c>
      <c r="W15" s="1"/>
      <c r="X15" s="1" t="s">
        <v>466</v>
      </c>
      <c r="Y15" s="1"/>
      <c r="Z15" s="1" t="s">
        <v>467</v>
      </c>
      <c r="AA15" s="1" t="s">
        <v>760</v>
      </c>
      <c r="AB15" s="1" t="s">
        <v>466</v>
      </c>
      <c r="AC15" s="1"/>
      <c r="AD15" s="1" t="s">
        <v>466</v>
      </c>
      <c r="AE15" s="1"/>
      <c r="AF15" s="1"/>
      <c r="AG15" s="1"/>
      <c r="AH15" s="1"/>
      <c r="AI15" s="1" t="s">
        <v>466</v>
      </c>
      <c r="AK15" s="3" t="s">
        <v>477</v>
      </c>
      <c r="AL15" s="1" t="s">
        <v>466</v>
      </c>
      <c r="AM15" t="s">
        <v>467</v>
      </c>
      <c r="AN15" s="1"/>
      <c r="AO15" s="1" t="s">
        <v>764</v>
      </c>
      <c r="AP15" s="1"/>
      <c r="AQ15" s="1" t="s">
        <v>466</v>
      </c>
      <c r="AR15" s="1" t="s">
        <v>466</v>
      </c>
      <c r="AS15" s="1"/>
      <c r="AT15" s="1"/>
      <c r="AU15" s="1"/>
      <c r="AV15" s="1"/>
      <c r="AW15" s="3" t="s">
        <v>533</v>
      </c>
      <c r="AX15" s="1" t="s">
        <v>1713</v>
      </c>
      <c r="AY15" s="14">
        <v>46104</v>
      </c>
      <c r="AZ15" s="3" t="s">
        <v>740</v>
      </c>
    </row>
    <row r="16" spans="1:53" x14ac:dyDescent="0.3">
      <c r="A16" s="1" t="s">
        <v>741</v>
      </c>
      <c r="B16" s="1" t="s">
        <v>10</v>
      </c>
      <c r="C16" s="1" t="s">
        <v>87</v>
      </c>
      <c r="D16" s="3" t="s">
        <v>674</v>
      </c>
      <c r="E16" s="11" t="s">
        <v>284</v>
      </c>
      <c r="F16" s="3" t="s">
        <v>504</v>
      </c>
      <c r="G16" s="3" t="s">
        <v>514</v>
      </c>
      <c r="H16" s="1" t="s">
        <v>765</v>
      </c>
      <c r="I16" s="1" t="s">
        <v>467</v>
      </c>
      <c r="J16" s="1" t="s">
        <v>466</v>
      </c>
      <c r="K16" s="1" t="s">
        <v>467</v>
      </c>
      <c r="L16" s="1" t="s">
        <v>755</v>
      </c>
      <c r="M16" s="1" t="s">
        <v>467</v>
      </c>
      <c r="N16" s="1" t="s">
        <v>466</v>
      </c>
      <c r="P16" s="1"/>
      <c r="Q16" s="1" t="s">
        <v>758</v>
      </c>
      <c r="R16" s="1" t="s">
        <v>466</v>
      </c>
      <c r="S16" s="3" t="s">
        <v>264</v>
      </c>
      <c r="T16" s="1" t="s">
        <v>466</v>
      </c>
      <c r="U16" s="1" t="s">
        <v>466</v>
      </c>
      <c r="V16" s="1" t="s">
        <v>466</v>
      </c>
      <c r="W16" s="1" t="s">
        <v>466</v>
      </c>
      <c r="X16" s="1"/>
      <c r="Y16" s="1" t="s">
        <v>466</v>
      </c>
      <c r="Z16" s="1" t="s">
        <v>467</v>
      </c>
      <c r="AA16" s="1" t="s">
        <v>760</v>
      </c>
      <c r="AB16" s="1" t="s">
        <v>466</v>
      </c>
      <c r="AC16" s="1" t="s">
        <v>466</v>
      </c>
      <c r="AD16" s="1" t="s">
        <v>466</v>
      </c>
      <c r="AE16" s="1" t="s">
        <v>466</v>
      </c>
      <c r="AF16" s="1" t="s">
        <v>466</v>
      </c>
      <c r="AG16" s="1" t="s">
        <v>466</v>
      </c>
      <c r="AH16" s="1"/>
      <c r="AI16" s="1" t="s">
        <v>466</v>
      </c>
      <c r="AL16" s="1" t="s">
        <v>466</v>
      </c>
      <c r="AM16" t="s">
        <v>467</v>
      </c>
      <c r="AN16" s="1"/>
      <c r="AO16" s="1" t="s">
        <v>764</v>
      </c>
      <c r="AP16" s="1"/>
      <c r="AQ16" s="1" t="s">
        <v>466</v>
      </c>
      <c r="AR16" s="1" t="s">
        <v>466</v>
      </c>
      <c r="AS16" s="1" t="s">
        <v>466</v>
      </c>
      <c r="AT16" s="1"/>
      <c r="AU16" s="1" t="s">
        <v>466</v>
      </c>
      <c r="AV16" s="1"/>
      <c r="AW16" s="3" t="s">
        <v>534</v>
      </c>
      <c r="AX16" s="1" t="s">
        <v>1727</v>
      </c>
      <c r="AY16" s="14">
        <v>46108</v>
      </c>
      <c r="AZ16" s="3" t="s">
        <v>740</v>
      </c>
    </row>
    <row r="17" spans="1:52" x14ac:dyDescent="0.3">
      <c r="A17" s="1" t="s">
        <v>741</v>
      </c>
      <c r="B17" s="1" t="s">
        <v>11</v>
      </c>
      <c r="C17" s="1" t="s">
        <v>88</v>
      </c>
      <c r="D17" s="3" t="s">
        <v>673</v>
      </c>
      <c r="E17" s="11" t="s">
        <v>285</v>
      </c>
      <c r="F17" s="3" t="s">
        <v>505</v>
      </c>
      <c r="G17" s="3" t="s">
        <v>515</v>
      </c>
      <c r="H17" s="1" t="s">
        <v>765</v>
      </c>
      <c r="I17" s="1" t="s">
        <v>467</v>
      </c>
      <c r="J17" s="1" t="s">
        <v>466</v>
      </c>
      <c r="K17" s="1" t="s">
        <v>467</v>
      </c>
      <c r="L17" s="1" t="s">
        <v>755</v>
      </c>
      <c r="M17" s="1" t="s">
        <v>467</v>
      </c>
      <c r="N17" s="1" t="s">
        <v>466</v>
      </c>
      <c r="P17" s="1" t="s">
        <v>466</v>
      </c>
      <c r="Q17" s="1" t="s">
        <v>758</v>
      </c>
      <c r="R17" s="1" t="s">
        <v>466</v>
      </c>
      <c r="S17" s="3" t="s">
        <v>264</v>
      </c>
      <c r="T17" s="1" t="s">
        <v>466</v>
      </c>
      <c r="U17" s="1" t="s">
        <v>466</v>
      </c>
      <c r="V17" s="1" t="s">
        <v>466</v>
      </c>
      <c r="W17" s="1" t="s">
        <v>466</v>
      </c>
      <c r="X17" s="1" t="s">
        <v>466</v>
      </c>
      <c r="Y17" s="1"/>
      <c r="Z17" s="1" t="s">
        <v>467</v>
      </c>
      <c r="AA17" s="1" t="s">
        <v>760</v>
      </c>
      <c r="AB17" s="1" t="s">
        <v>466</v>
      </c>
      <c r="AC17" s="1" t="s">
        <v>466</v>
      </c>
      <c r="AD17" s="1" t="s">
        <v>466</v>
      </c>
      <c r="AE17" s="1" t="s">
        <v>466</v>
      </c>
      <c r="AF17" s="1" t="s">
        <v>466</v>
      </c>
      <c r="AG17" s="1" t="s">
        <v>466</v>
      </c>
      <c r="AH17" s="1"/>
      <c r="AI17" s="1" t="s">
        <v>466</v>
      </c>
      <c r="AK17" s="3" t="s">
        <v>479</v>
      </c>
      <c r="AL17" s="1" t="s">
        <v>466</v>
      </c>
      <c r="AM17" t="s">
        <v>467</v>
      </c>
      <c r="AN17" s="1"/>
      <c r="AO17" s="1" t="s">
        <v>764</v>
      </c>
      <c r="AP17" s="1"/>
      <c r="AQ17" s="1" t="s">
        <v>466</v>
      </c>
      <c r="AR17" s="1" t="s">
        <v>466</v>
      </c>
      <c r="AS17" s="1"/>
      <c r="AT17" s="1"/>
      <c r="AU17" s="1" t="s">
        <v>466</v>
      </c>
      <c r="AV17" s="1" t="s">
        <v>762</v>
      </c>
      <c r="AW17" s="3" t="s">
        <v>535</v>
      </c>
      <c r="AX17" s="1" t="s">
        <v>1728</v>
      </c>
      <c r="AY17" s="14">
        <v>46108</v>
      </c>
      <c r="AZ17" s="3" t="s">
        <v>740</v>
      </c>
    </row>
    <row r="18" spans="1:52" x14ac:dyDescent="0.3">
      <c r="A18" s="1" t="s">
        <v>741</v>
      </c>
      <c r="B18" s="1" t="s">
        <v>12</v>
      </c>
      <c r="C18" s="1" t="s">
        <v>89</v>
      </c>
      <c r="D18" s="3" t="s">
        <v>672</v>
      </c>
      <c r="E18" s="11" t="s">
        <v>286</v>
      </c>
      <c r="F18" s="3" t="s">
        <v>506</v>
      </c>
      <c r="G18" s="3" t="s">
        <v>516</v>
      </c>
      <c r="H18" s="1" t="s">
        <v>765</v>
      </c>
      <c r="I18" s="1" t="s">
        <v>467</v>
      </c>
      <c r="J18" s="1" t="s">
        <v>466</v>
      </c>
      <c r="K18" s="1" t="s">
        <v>467</v>
      </c>
      <c r="M18" s="1" t="s">
        <v>466</v>
      </c>
      <c r="N18" s="1" t="s">
        <v>466</v>
      </c>
      <c r="O18" s="1" t="s">
        <v>757</v>
      </c>
      <c r="P18" s="1" t="s">
        <v>466</v>
      </c>
      <c r="Q18" s="1" t="s">
        <v>758</v>
      </c>
      <c r="R18" s="1" t="s">
        <v>466</v>
      </c>
      <c r="S18" s="3" t="s">
        <v>264</v>
      </c>
      <c r="T18" s="1" t="s">
        <v>466</v>
      </c>
      <c r="U18" s="1" t="s">
        <v>466</v>
      </c>
      <c r="V18" s="1" t="s">
        <v>466</v>
      </c>
      <c r="W18" s="1" t="s">
        <v>466</v>
      </c>
      <c r="X18" s="1" t="s">
        <v>466</v>
      </c>
      <c r="Y18" s="1"/>
      <c r="Z18" s="1" t="s">
        <v>467</v>
      </c>
      <c r="AA18" s="1" t="s">
        <v>760</v>
      </c>
      <c r="AB18" s="1" t="s">
        <v>466</v>
      </c>
      <c r="AC18" s="1" t="s">
        <v>466</v>
      </c>
      <c r="AD18" s="1" t="s">
        <v>466</v>
      </c>
      <c r="AE18" s="1"/>
      <c r="AF18" s="1" t="s">
        <v>466</v>
      </c>
      <c r="AG18" s="1" t="s">
        <v>466</v>
      </c>
      <c r="AH18" s="1"/>
      <c r="AI18" s="1" t="s">
        <v>466</v>
      </c>
      <c r="AK18" s="3" t="s">
        <v>478</v>
      </c>
      <c r="AL18" s="1" t="s">
        <v>466</v>
      </c>
      <c r="AM18" t="s">
        <v>467</v>
      </c>
      <c r="AN18" s="1"/>
      <c r="AO18" s="1" t="s">
        <v>764</v>
      </c>
      <c r="AP18" s="1" t="s">
        <v>466</v>
      </c>
      <c r="AQ18" s="1" t="s">
        <v>466</v>
      </c>
      <c r="AR18" s="1" t="s">
        <v>466</v>
      </c>
      <c r="AS18" s="1" t="s">
        <v>466</v>
      </c>
      <c r="AT18" s="1"/>
      <c r="AU18" s="1"/>
      <c r="AV18" s="1"/>
      <c r="AW18" s="3" t="s">
        <v>536</v>
      </c>
      <c r="AX18" s="1" t="s">
        <v>1713</v>
      </c>
      <c r="AY18" s="14">
        <v>46108</v>
      </c>
      <c r="AZ18" s="3" t="s">
        <v>740</v>
      </c>
    </row>
    <row r="19" spans="1:52" x14ac:dyDescent="0.3">
      <c r="A19" s="1" t="s">
        <v>741</v>
      </c>
      <c r="B19" s="1" t="s">
        <v>13</v>
      </c>
      <c r="C19" s="1" t="s">
        <v>90</v>
      </c>
      <c r="D19" s="3" t="s">
        <v>671</v>
      </c>
      <c r="E19" s="11" t="s">
        <v>287</v>
      </c>
      <c r="F19" s="3" t="s">
        <v>507</v>
      </c>
      <c r="G19" s="3" t="s">
        <v>517</v>
      </c>
      <c r="H19" s="1" t="s">
        <v>765</v>
      </c>
      <c r="I19" s="1" t="s">
        <v>467</v>
      </c>
      <c r="J19" s="1" t="s">
        <v>466</v>
      </c>
      <c r="K19" s="1" t="s">
        <v>467</v>
      </c>
      <c r="L19" s="1" t="s">
        <v>755</v>
      </c>
      <c r="M19" s="1" t="s">
        <v>467</v>
      </c>
      <c r="N19" s="1" t="s">
        <v>466</v>
      </c>
      <c r="P19" s="1" t="s">
        <v>466</v>
      </c>
      <c r="Q19" s="1" t="s">
        <v>758</v>
      </c>
      <c r="R19" s="1" t="s">
        <v>466</v>
      </c>
      <c r="S19" s="3" t="s">
        <v>268</v>
      </c>
      <c r="T19" s="1" t="s">
        <v>466</v>
      </c>
      <c r="U19" s="1" t="s">
        <v>466</v>
      </c>
      <c r="V19" s="1"/>
      <c r="W19" s="1" t="s">
        <v>466</v>
      </c>
      <c r="X19" s="1" t="s">
        <v>466</v>
      </c>
      <c r="Y19" s="1"/>
      <c r="Z19" s="1" t="s">
        <v>467</v>
      </c>
      <c r="AA19" s="1" t="s">
        <v>760</v>
      </c>
      <c r="AB19" s="1" t="s">
        <v>466</v>
      </c>
      <c r="AC19" s="1" t="s">
        <v>466</v>
      </c>
      <c r="AD19" s="1"/>
      <c r="AE19" s="1"/>
      <c r="AF19" s="1" t="s">
        <v>466</v>
      </c>
      <c r="AG19" s="1" t="s">
        <v>466</v>
      </c>
      <c r="AH19" s="1"/>
      <c r="AI19" s="1" t="s">
        <v>466</v>
      </c>
      <c r="AK19" s="3" t="s">
        <v>479</v>
      </c>
      <c r="AL19" s="1" t="s">
        <v>466</v>
      </c>
      <c r="AM19" t="s">
        <v>467</v>
      </c>
      <c r="AN19" s="1"/>
      <c r="AO19" s="1" t="s">
        <v>764</v>
      </c>
      <c r="AP19" s="1"/>
      <c r="AQ19" s="1" t="s">
        <v>466</v>
      </c>
      <c r="AR19" s="1" t="s">
        <v>466</v>
      </c>
      <c r="AS19" s="1" t="s">
        <v>466</v>
      </c>
      <c r="AT19" s="1"/>
      <c r="AU19" s="1" t="s">
        <v>466</v>
      </c>
      <c r="AV19" s="1"/>
      <c r="AW19" s="3" t="s">
        <v>532</v>
      </c>
      <c r="AX19" s="1" t="s">
        <v>1729</v>
      </c>
      <c r="AY19" s="14">
        <v>46108</v>
      </c>
      <c r="AZ19" s="3" t="s">
        <v>740</v>
      </c>
    </row>
    <row r="20" spans="1:52" x14ac:dyDescent="0.3">
      <c r="A20" s="1" t="s">
        <v>741</v>
      </c>
      <c r="B20" s="1" t="s">
        <v>14</v>
      </c>
      <c r="C20" s="1" t="s">
        <v>91</v>
      </c>
      <c r="D20" s="3" t="s">
        <v>670</v>
      </c>
      <c r="E20" s="11" t="s">
        <v>288</v>
      </c>
      <c r="F20" s="3" t="s">
        <v>500</v>
      </c>
      <c r="G20" s="3" t="s">
        <v>517</v>
      </c>
      <c r="H20" s="1" t="s">
        <v>765</v>
      </c>
      <c r="I20" s="1" t="s">
        <v>467</v>
      </c>
      <c r="J20" s="1" t="s">
        <v>466</v>
      </c>
      <c r="K20" s="1" t="s">
        <v>467</v>
      </c>
      <c r="M20" s="1" t="s">
        <v>467</v>
      </c>
      <c r="N20" s="1" t="s">
        <v>466</v>
      </c>
      <c r="O20" s="1" t="s">
        <v>757</v>
      </c>
      <c r="P20" s="1" t="s">
        <v>466</v>
      </c>
      <c r="Q20" s="1" t="s">
        <v>758</v>
      </c>
      <c r="R20" s="1"/>
      <c r="S20" s="3" t="s">
        <v>268</v>
      </c>
      <c r="T20" s="1" t="s">
        <v>466</v>
      </c>
      <c r="U20" s="1" t="s">
        <v>466</v>
      </c>
      <c r="V20" s="1"/>
      <c r="W20" s="1" t="s">
        <v>466</v>
      </c>
      <c r="X20" s="1"/>
      <c r="Y20" s="1" t="s">
        <v>466</v>
      </c>
      <c r="Z20" s="1" t="s">
        <v>467</v>
      </c>
      <c r="AB20" s="1" t="s">
        <v>466</v>
      </c>
      <c r="AC20" s="1"/>
      <c r="AD20" s="1"/>
      <c r="AE20" s="1"/>
      <c r="AF20" s="1" t="s">
        <v>466</v>
      </c>
      <c r="AG20" s="1"/>
      <c r="AH20" s="1"/>
      <c r="AI20" s="1" t="s">
        <v>466</v>
      </c>
      <c r="AJ20" s="3" t="s">
        <v>761</v>
      </c>
      <c r="AK20" s="3" t="s">
        <v>479</v>
      </c>
      <c r="AL20" s="1" t="s">
        <v>466</v>
      </c>
      <c r="AM20" t="s">
        <v>467</v>
      </c>
      <c r="AN20" s="1"/>
      <c r="AO20" s="1" t="s">
        <v>764</v>
      </c>
      <c r="AP20" s="1"/>
      <c r="AQ20" s="1" t="s">
        <v>466</v>
      </c>
      <c r="AR20" s="1" t="s">
        <v>466</v>
      </c>
      <c r="AS20" s="1" t="s">
        <v>466</v>
      </c>
      <c r="AT20" s="1"/>
      <c r="AU20" s="1" t="s">
        <v>466</v>
      </c>
      <c r="AV20" s="1"/>
      <c r="AW20" s="3" t="s">
        <v>669</v>
      </c>
      <c r="AX20" s="1" t="s">
        <v>1727</v>
      </c>
      <c r="AY20" s="14">
        <v>46112</v>
      </c>
      <c r="AZ20" s="3" t="s">
        <v>740</v>
      </c>
    </row>
    <row r="21" spans="1:52" x14ac:dyDescent="0.3">
      <c r="A21" s="1" t="s">
        <v>741</v>
      </c>
      <c r="B21" s="1" t="s">
        <v>15</v>
      </c>
      <c r="C21" s="1" t="s">
        <v>92</v>
      </c>
      <c r="D21" s="3" t="s">
        <v>668</v>
      </c>
      <c r="E21" s="11" t="s">
        <v>289</v>
      </c>
      <c r="F21" s="3" t="s">
        <v>500</v>
      </c>
      <c r="G21" s="3" t="s">
        <v>667</v>
      </c>
      <c r="H21" s="1" t="s">
        <v>765</v>
      </c>
      <c r="I21" s="1" t="s">
        <v>467</v>
      </c>
      <c r="J21" s="1" t="s">
        <v>466</v>
      </c>
      <c r="K21" s="1" t="s">
        <v>467</v>
      </c>
      <c r="L21" s="1" t="s">
        <v>755</v>
      </c>
      <c r="M21" s="1" t="s">
        <v>466</v>
      </c>
      <c r="N21" s="1" t="s">
        <v>467</v>
      </c>
      <c r="O21" s="1" t="s">
        <v>757</v>
      </c>
      <c r="P21" s="1" t="s">
        <v>466</v>
      </c>
      <c r="Q21" s="1" t="s">
        <v>758</v>
      </c>
      <c r="R21" s="1" t="s">
        <v>466</v>
      </c>
      <c r="S21" s="3" t="s">
        <v>268</v>
      </c>
      <c r="T21" s="1" t="s">
        <v>466</v>
      </c>
      <c r="U21" s="1" t="s">
        <v>466</v>
      </c>
      <c r="V21" s="1"/>
      <c r="W21" s="1" t="s">
        <v>466</v>
      </c>
      <c r="X21" s="1" t="s">
        <v>466</v>
      </c>
      <c r="Y21" s="1"/>
      <c r="Z21" s="1" t="s">
        <v>467</v>
      </c>
      <c r="AA21" s="1" t="s">
        <v>760</v>
      </c>
      <c r="AB21" s="1" t="s">
        <v>466</v>
      </c>
      <c r="AC21" s="1" t="s">
        <v>466</v>
      </c>
      <c r="AD21" s="1"/>
      <c r="AE21" s="1"/>
      <c r="AF21" s="1" t="s">
        <v>466</v>
      </c>
      <c r="AG21" s="1"/>
      <c r="AH21" s="1"/>
      <c r="AI21" s="1" t="s">
        <v>466</v>
      </c>
      <c r="AK21" s="3" t="s">
        <v>478</v>
      </c>
      <c r="AL21" s="1" t="s">
        <v>466</v>
      </c>
      <c r="AM21" t="s">
        <v>467</v>
      </c>
      <c r="AN21" s="1"/>
      <c r="AO21" s="1" t="s">
        <v>764</v>
      </c>
      <c r="AP21" s="1"/>
      <c r="AQ21" s="1" t="s">
        <v>466</v>
      </c>
      <c r="AR21" s="1" t="s">
        <v>466</v>
      </c>
      <c r="AS21" s="1" t="s">
        <v>466</v>
      </c>
      <c r="AT21" s="1" t="s">
        <v>466</v>
      </c>
      <c r="AU21" s="1" t="s">
        <v>466</v>
      </c>
      <c r="AV21" s="1"/>
      <c r="AW21" s="3" t="s">
        <v>666</v>
      </c>
      <c r="AX21" s="1" t="s">
        <v>1730</v>
      </c>
      <c r="AY21" s="14">
        <v>46112</v>
      </c>
      <c r="AZ21" s="3" t="s">
        <v>740</v>
      </c>
    </row>
    <row r="22" spans="1:52" x14ac:dyDescent="0.3">
      <c r="A22" s="1" t="s">
        <v>741</v>
      </c>
      <c r="B22" s="1" t="s">
        <v>16</v>
      </c>
      <c r="C22" s="1" t="s">
        <v>93</v>
      </c>
      <c r="D22" s="3" t="s">
        <v>596</v>
      </c>
      <c r="E22" s="11" t="s">
        <v>290</v>
      </c>
      <c r="F22" s="3" t="s">
        <v>500</v>
      </c>
      <c r="G22" s="3" t="s">
        <v>665</v>
      </c>
      <c r="H22" s="1" t="s">
        <v>765</v>
      </c>
      <c r="I22" s="1" t="s">
        <v>467</v>
      </c>
      <c r="J22" s="1" t="s">
        <v>466</v>
      </c>
      <c r="K22" s="1" t="s">
        <v>467</v>
      </c>
      <c r="L22" s="1" t="s">
        <v>755</v>
      </c>
      <c r="M22" s="1" t="s">
        <v>467</v>
      </c>
      <c r="N22" s="1" t="s">
        <v>466</v>
      </c>
      <c r="O22" s="1" t="s">
        <v>757</v>
      </c>
      <c r="P22" s="1"/>
      <c r="Q22" s="1" t="s">
        <v>758</v>
      </c>
      <c r="R22" s="1"/>
      <c r="S22" s="3" t="s">
        <v>268</v>
      </c>
      <c r="T22" s="1" t="s">
        <v>466</v>
      </c>
      <c r="U22" s="1" t="s">
        <v>466</v>
      </c>
      <c r="V22" s="1"/>
      <c r="W22" s="1" t="s">
        <v>466</v>
      </c>
      <c r="X22" s="1" t="s">
        <v>466</v>
      </c>
      <c r="Y22" s="1"/>
      <c r="Z22" s="1" t="s">
        <v>467</v>
      </c>
      <c r="AA22" s="1" t="s">
        <v>760</v>
      </c>
      <c r="AB22" s="1" t="s">
        <v>466</v>
      </c>
      <c r="AC22" s="1" t="s">
        <v>466</v>
      </c>
      <c r="AD22" s="1"/>
      <c r="AE22" s="1" t="s">
        <v>466</v>
      </c>
      <c r="AF22" s="1" t="s">
        <v>466</v>
      </c>
      <c r="AG22" s="1"/>
      <c r="AH22" s="1"/>
      <c r="AI22" s="1"/>
      <c r="AK22" s="3" t="s">
        <v>477</v>
      </c>
      <c r="AL22" s="1" t="s">
        <v>466</v>
      </c>
      <c r="AM22" t="s">
        <v>467</v>
      </c>
      <c r="AN22" s="1"/>
      <c r="AO22" s="1" t="s">
        <v>764</v>
      </c>
      <c r="AP22" s="1"/>
      <c r="AQ22" s="1" t="s">
        <v>466</v>
      </c>
      <c r="AR22" s="1" t="s">
        <v>466</v>
      </c>
      <c r="AS22" s="1" t="s">
        <v>466</v>
      </c>
      <c r="AT22" s="1"/>
      <c r="AU22" s="1" t="s">
        <v>466</v>
      </c>
      <c r="AV22" s="1"/>
      <c r="AW22" s="3" t="s">
        <v>664</v>
      </c>
      <c r="AX22" s="1" t="s">
        <v>1731</v>
      </c>
      <c r="AY22" s="14">
        <v>46113</v>
      </c>
      <c r="AZ22" s="3" t="s">
        <v>740</v>
      </c>
    </row>
    <row r="23" spans="1:52" x14ac:dyDescent="0.3">
      <c r="A23" s="1" t="s">
        <v>741</v>
      </c>
      <c r="B23" s="1" t="s">
        <v>17</v>
      </c>
      <c r="C23" s="1" t="s">
        <v>94</v>
      </c>
      <c r="D23" s="3" t="s">
        <v>663</v>
      </c>
      <c r="E23" s="11" t="s">
        <v>291</v>
      </c>
      <c r="F23" s="3" t="s">
        <v>505</v>
      </c>
      <c r="G23" s="3" t="s">
        <v>750</v>
      </c>
      <c r="H23" s="1" t="s">
        <v>765</v>
      </c>
      <c r="I23" s="1" t="s">
        <v>467</v>
      </c>
      <c r="J23" s="1" t="s">
        <v>466</v>
      </c>
      <c r="K23" s="1" t="s">
        <v>467</v>
      </c>
      <c r="L23" s="1" t="s">
        <v>755</v>
      </c>
      <c r="M23" s="1" t="s">
        <v>467</v>
      </c>
      <c r="N23" s="1" t="s">
        <v>466</v>
      </c>
      <c r="O23" s="1" t="s">
        <v>757</v>
      </c>
      <c r="P23" s="1"/>
      <c r="Q23" s="1" t="s">
        <v>758</v>
      </c>
      <c r="R23" s="1"/>
      <c r="S23" s="3" t="s">
        <v>264</v>
      </c>
      <c r="T23" s="1" t="s">
        <v>466</v>
      </c>
      <c r="U23" s="1" t="s">
        <v>466</v>
      </c>
      <c r="V23" s="1" t="s">
        <v>466</v>
      </c>
      <c r="W23" s="1"/>
      <c r="X23" s="1"/>
      <c r="Y23" s="1" t="s">
        <v>466</v>
      </c>
      <c r="Z23" s="1" t="s">
        <v>467</v>
      </c>
      <c r="AA23" s="1" t="s">
        <v>760</v>
      </c>
      <c r="AB23" s="1" t="s">
        <v>466</v>
      </c>
      <c r="AC23" s="1"/>
      <c r="AD23" s="1"/>
      <c r="AE23" s="1"/>
      <c r="AF23" s="1" t="s">
        <v>466</v>
      </c>
      <c r="AG23" s="1" t="s">
        <v>466</v>
      </c>
      <c r="AH23" s="1"/>
      <c r="AI23" s="1"/>
      <c r="AK23" s="3" t="s">
        <v>478</v>
      </c>
      <c r="AL23" s="1" t="s">
        <v>466</v>
      </c>
      <c r="AM23" t="s">
        <v>467</v>
      </c>
      <c r="AN23" s="1"/>
      <c r="AO23" s="1" t="s">
        <v>764</v>
      </c>
      <c r="AP23" s="1"/>
      <c r="AQ23" s="1" t="s">
        <v>466</v>
      </c>
      <c r="AR23" s="1" t="s">
        <v>466</v>
      </c>
      <c r="AS23" s="1" t="s">
        <v>466</v>
      </c>
      <c r="AT23" s="1"/>
      <c r="AU23" s="1"/>
      <c r="AV23" s="1" t="s">
        <v>762</v>
      </c>
      <c r="AW23" s="3" t="s">
        <v>662</v>
      </c>
      <c r="AX23" s="1" t="s">
        <v>1732</v>
      </c>
      <c r="AY23" s="14">
        <v>46113</v>
      </c>
      <c r="AZ23" s="3" t="s">
        <v>740</v>
      </c>
    </row>
    <row r="24" spans="1:52" x14ac:dyDescent="0.3">
      <c r="A24" s="1" t="s">
        <v>741</v>
      </c>
      <c r="B24" s="1" t="s">
        <v>18</v>
      </c>
      <c r="C24" s="1" t="s">
        <v>95</v>
      </c>
      <c r="D24" s="3" t="s">
        <v>661</v>
      </c>
      <c r="E24" s="11" t="s">
        <v>292</v>
      </c>
      <c r="F24" s="3" t="s">
        <v>660</v>
      </c>
      <c r="G24" s="3" t="s">
        <v>659</v>
      </c>
      <c r="H24" s="1" t="s">
        <v>765</v>
      </c>
      <c r="I24" s="1" t="s">
        <v>467</v>
      </c>
      <c r="J24" s="1" t="s">
        <v>466</v>
      </c>
      <c r="K24" s="1" t="s">
        <v>467</v>
      </c>
      <c r="L24" s="1" t="s">
        <v>755</v>
      </c>
      <c r="M24" s="1" t="s">
        <v>467</v>
      </c>
      <c r="N24" s="1" t="s">
        <v>466</v>
      </c>
      <c r="P24" s="1"/>
      <c r="Q24" s="1" t="s">
        <v>758</v>
      </c>
      <c r="R24" s="1"/>
      <c r="S24" s="3" t="s">
        <v>268</v>
      </c>
      <c r="T24" s="1" t="s">
        <v>466</v>
      </c>
      <c r="U24" s="1" t="s">
        <v>466</v>
      </c>
      <c r="V24" s="1"/>
      <c r="W24" s="1"/>
      <c r="X24" s="1" t="s">
        <v>466</v>
      </c>
      <c r="Y24" s="1"/>
      <c r="Z24" s="1" t="s">
        <v>467</v>
      </c>
      <c r="AA24" s="1" t="s">
        <v>760</v>
      </c>
      <c r="AB24" s="1" t="s">
        <v>466</v>
      </c>
      <c r="AC24" s="1"/>
      <c r="AD24" s="1"/>
      <c r="AE24" s="1"/>
      <c r="AF24" s="1"/>
      <c r="AG24" s="1"/>
      <c r="AH24" s="1"/>
      <c r="AI24" s="1" t="s">
        <v>466</v>
      </c>
      <c r="AK24" s="3" t="s">
        <v>479</v>
      </c>
      <c r="AL24" s="1" t="s">
        <v>466</v>
      </c>
      <c r="AM24" t="s">
        <v>467</v>
      </c>
      <c r="AN24" s="1"/>
      <c r="AO24" s="1" t="s">
        <v>764</v>
      </c>
      <c r="AP24" s="1"/>
      <c r="AQ24" s="1" t="s">
        <v>466</v>
      </c>
      <c r="AR24" s="1" t="s">
        <v>466</v>
      </c>
      <c r="AS24" s="1" t="s">
        <v>466</v>
      </c>
      <c r="AT24" s="1"/>
      <c r="AU24" s="1"/>
      <c r="AV24" s="1"/>
      <c r="AW24" s="3" t="s">
        <v>658</v>
      </c>
      <c r="AX24" s="1" t="s">
        <v>1733</v>
      </c>
      <c r="AY24" s="14">
        <v>46113</v>
      </c>
      <c r="AZ24" s="3" t="s">
        <v>740</v>
      </c>
    </row>
    <row r="25" spans="1:52" x14ac:dyDescent="0.3">
      <c r="A25" s="1" t="s">
        <v>741</v>
      </c>
      <c r="B25" s="1" t="s">
        <v>19</v>
      </c>
      <c r="C25" s="1" t="s">
        <v>96</v>
      </c>
      <c r="D25" s="3" t="s">
        <v>657</v>
      </c>
      <c r="E25" s="11" t="s">
        <v>293</v>
      </c>
      <c r="F25" s="3" t="s">
        <v>500</v>
      </c>
      <c r="G25" s="3" t="s">
        <v>656</v>
      </c>
      <c r="H25" s="1" t="s">
        <v>765</v>
      </c>
      <c r="I25" s="1" t="s">
        <v>467</v>
      </c>
      <c r="J25" s="1" t="s">
        <v>466</v>
      </c>
      <c r="K25" s="1" t="s">
        <v>467</v>
      </c>
      <c r="L25" s="1" t="s">
        <v>755</v>
      </c>
      <c r="M25" s="1" t="s">
        <v>467</v>
      </c>
      <c r="N25" s="1" t="s">
        <v>466</v>
      </c>
      <c r="P25" s="1"/>
      <c r="Q25" s="1" t="s">
        <v>758</v>
      </c>
      <c r="R25" s="1" t="s">
        <v>466</v>
      </c>
      <c r="S25" s="3" t="s">
        <v>264</v>
      </c>
      <c r="T25" s="1" t="s">
        <v>466</v>
      </c>
      <c r="U25" s="1" t="s">
        <v>466</v>
      </c>
      <c r="V25" s="1" t="s">
        <v>466</v>
      </c>
      <c r="W25" s="1"/>
      <c r="X25" s="1"/>
      <c r="Y25" s="1" t="s">
        <v>466</v>
      </c>
      <c r="Z25" s="1" t="s">
        <v>467</v>
      </c>
      <c r="AA25" s="1" t="s">
        <v>760</v>
      </c>
      <c r="AB25" s="1" t="s">
        <v>466</v>
      </c>
      <c r="AC25" s="1" t="s">
        <v>466</v>
      </c>
      <c r="AD25" s="1" t="s">
        <v>466</v>
      </c>
      <c r="AE25" s="1"/>
      <c r="AF25" s="1" t="s">
        <v>466</v>
      </c>
      <c r="AG25" s="1"/>
      <c r="AH25" s="1"/>
      <c r="AI25" s="1" t="s">
        <v>466</v>
      </c>
      <c r="AK25" s="3" t="s">
        <v>479</v>
      </c>
      <c r="AL25" s="1" t="s">
        <v>466</v>
      </c>
      <c r="AM25" t="s">
        <v>467</v>
      </c>
      <c r="AN25" s="1" t="s">
        <v>466</v>
      </c>
      <c r="AO25" s="1" t="s">
        <v>764</v>
      </c>
      <c r="AP25" s="1"/>
      <c r="AQ25" s="1" t="s">
        <v>466</v>
      </c>
      <c r="AR25" s="1" t="s">
        <v>466</v>
      </c>
      <c r="AS25" s="1"/>
      <c r="AT25" s="1"/>
      <c r="AU25" s="1"/>
      <c r="AV25" s="1"/>
      <c r="AW25" s="3" t="s">
        <v>655</v>
      </c>
      <c r="AX25" s="1" t="s">
        <v>1734</v>
      </c>
      <c r="AY25" s="14">
        <v>46085</v>
      </c>
      <c r="AZ25" s="3" t="s">
        <v>740</v>
      </c>
    </row>
    <row r="26" spans="1:52" x14ac:dyDescent="0.3">
      <c r="A26" s="1" t="s">
        <v>741</v>
      </c>
      <c r="B26" s="1" t="s">
        <v>20</v>
      </c>
      <c r="C26" s="1" t="s">
        <v>97</v>
      </c>
      <c r="D26" s="3" t="s">
        <v>654</v>
      </c>
      <c r="E26" s="11" t="s">
        <v>294</v>
      </c>
      <c r="F26" s="3" t="s">
        <v>500</v>
      </c>
      <c r="G26" s="3" t="s">
        <v>653</v>
      </c>
      <c r="H26" s="1" t="s">
        <v>765</v>
      </c>
      <c r="I26" s="1" t="s">
        <v>467</v>
      </c>
      <c r="J26" s="1" t="s">
        <v>466</v>
      </c>
      <c r="K26" s="1" t="s">
        <v>467</v>
      </c>
      <c r="M26" s="1" t="s">
        <v>467</v>
      </c>
      <c r="N26" s="1" t="s">
        <v>466</v>
      </c>
      <c r="P26" s="1"/>
      <c r="Q26" s="1" t="s">
        <v>758</v>
      </c>
      <c r="R26" s="1" t="s">
        <v>466</v>
      </c>
      <c r="S26" s="3" t="s">
        <v>264</v>
      </c>
      <c r="T26" s="1" t="s">
        <v>466</v>
      </c>
      <c r="U26" s="1" t="s">
        <v>466</v>
      </c>
      <c r="V26" s="1" t="s">
        <v>466</v>
      </c>
      <c r="W26" s="1" t="s">
        <v>466</v>
      </c>
      <c r="X26" s="1" t="s">
        <v>466</v>
      </c>
      <c r="Y26" s="1"/>
      <c r="Z26" s="1" t="s">
        <v>467</v>
      </c>
      <c r="AA26" s="1" t="s">
        <v>760</v>
      </c>
      <c r="AB26" s="1" t="s">
        <v>466</v>
      </c>
      <c r="AC26" s="1"/>
      <c r="AD26" s="1" t="s">
        <v>466</v>
      </c>
      <c r="AE26" s="1" t="s">
        <v>466</v>
      </c>
      <c r="AF26" s="1" t="s">
        <v>466</v>
      </c>
      <c r="AG26" s="1"/>
      <c r="AH26" s="1"/>
      <c r="AI26" s="1" t="s">
        <v>466</v>
      </c>
      <c r="AK26" s="3" t="s">
        <v>478</v>
      </c>
      <c r="AL26" s="1" t="s">
        <v>466</v>
      </c>
      <c r="AM26" t="s">
        <v>467</v>
      </c>
      <c r="AN26" s="1"/>
      <c r="AO26" s="1" t="s">
        <v>764</v>
      </c>
      <c r="AP26" s="1"/>
      <c r="AQ26" s="1" t="s">
        <v>466</v>
      </c>
      <c r="AR26" s="1"/>
      <c r="AS26" s="1"/>
      <c r="AT26" s="1"/>
      <c r="AU26" s="1"/>
      <c r="AV26" s="1"/>
      <c r="AX26" s="1" t="s">
        <v>1713</v>
      </c>
      <c r="AY26" s="14">
        <v>46085</v>
      </c>
      <c r="AZ26" s="3" t="s">
        <v>740</v>
      </c>
    </row>
    <row r="27" spans="1:52" x14ac:dyDescent="0.3">
      <c r="A27" s="1" t="s">
        <v>741</v>
      </c>
      <c r="B27" s="1" t="s">
        <v>21</v>
      </c>
      <c r="C27" s="1" t="s">
        <v>98</v>
      </c>
      <c r="D27" s="3" t="s">
        <v>652</v>
      </c>
      <c r="E27" s="12" t="s">
        <v>295</v>
      </c>
      <c r="F27" s="3" t="s">
        <v>651</v>
      </c>
      <c r="G27" s="3" t="s">
        <v>517</v>
      </c>
      <c r="H27" s="1" t="s">
        <v>765</v>
      </c>
      <c r="I27" s="1" t="s">
        <v>466</v>
      </c>
      <c r="J27" s="1" t="s">
        <v>466</v>
      </c>
      <c r="K27" s="1" t="s">
        <v>467</v>
      </c>
      <c r="L27" s="1" t="s">
        <v>755</v>
      </c>
      <c r="M27" s="1" t="s">
        <v>467</v>
      </c>
      <c r="N27" s="1" t="s">
        <v>466</v>
      </c>
      <c r="O27" s="1" t="s">
        <v>757</v>
      </c>
      <c r="P27" s="1"/>
      <c r="Q27" s="1" t="s">
        <v>758</v>
      </c>
      <c r="R27" s="1"/>
      <c r="S27" s="3" t="s">
        <v>268</v>
      </c>
      <c r="T27" s="1" t="s">
        <v>466</v>
      </c>
      <c r="U27" s="1" t="s">
        <v>466</v>
      </c>
      <c r="V27" s="1"/>
      <c r="W27" s="1"/>
      <c r="X27" s="1" t="s">
        <v>466</v>
      </c>
      <c r="Y27" s="1"/>
      <c r="Z27" s="1" t="s">
        <v>467</v>
      </c>
      <c r="AA27" s="1" t="s">
        <v>760</v>
      </c>
      <c r="AB27" s="1" t="s">
        <v>466</v>
      </c>
      <c r="AC27" s="1"/>
      <c r="AD27" s="1"/>
      <c r="AE27" s="1"/>
      <c r="AF27" s="1"/>
      <c r="AG27" s="1"/>
      <c r="AH27" s="1"/>
      <c r="AI27" s="1" t="s">
        <v>466</v>
      </c>
      <c r="AJ27" s="3" t="s">
        <v>761</v>
      </c>
      <c r="AK27" s="3" t="s">
        <v>478</v>
      </c>
      <c r="AL27" s="1" t="s">
        <v>466</v>
      </c>
      <c r="AM27" t="s">
        <v>467</v>
      </c>
      <c r="AN27" s="1"/>
      <c r="AO27" s="1" t="s">
        <v>764</v>
      </c>
      <c r="AP27" s="1"/>
      <c r="AQ27" s="1" t="s">
        <v>466</v>
      </c>
      <c r="AR27" s="1"/>
      <c r="AS27" s="1" t="s">
        <v>466</v>
      </c>
      <c r="AT27" s="1"/>
      <c r="AU27" s="1"/>
      <c r="AV27" s="1"/>
      <c r="AW27" s="3" t="s">
        <v>650</v>
      </c>
      <c r="AX27" s="1" t="s">
        <v>1735</v>
      </c>
      <c r="AY27" s="14">
        <v>46085</v>
      </c>
      <c r="AZ27" s="3" t="s">
        <v>740</v>
      </c>
    </row>
    <row r="28" spans="1:52" x14ac:dyDescent="0.3">
      <c r="A28" s="1" t="s">
        <v>741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500</v>
      </c>
      <c r="G28" s="3" t="s">
        <v>649</v>
      </c>
      <c r="H28" s="1" t="s">
        <v>765</v>
      </c>
      <c r="I28" s="1" t="s">
        <v>467</v>
      </c>
      <c r="J28" s="1" t="s">
        <v>466</v>
      </c>
      <c r="K28" s="1" t="s">
        <v>467</v>
      </c>
      <c r="L28" s="1" t="s">
        <v>755</v>
      </c>
      <c r="M28" s="1" t="s">
        <v>467</v>
      </c>
      <c r="N28" s="1" t="s">
        <v>466</v>
      </c>
      <c r="O28" s="1" t="s">
        <v>756</v>
      </c>
      <c r="P28" s="1" t="s">
        <v>466</v>
      </c>
      <c r="Q28" s="1" t="s">
        <v>758</v>
      </c>
      <c r="R28" s="1" t="s">
        <v>466</v>
      </c>
      <c r="S28" s="3" t="s">
        <v>264</v>
      </c>
      <c r="T28" s="1" t="s">
        <v>466</v>
      </c>
      <c r="U28" s="1" t="s">
        <v>466</v>
      </c>
      <c r="V28" s="1" t="s">
        <v>466</v>
      </c>
      <c r="W28" s="1" t="s">
        <v>466</v>
      </c>
      <c r="X28" s="1" t="s">
        <v>466</v>
      </c>
      <c r="Y28" s="1"/>
      <c r="Z28" s="1" t="s">
        <v>467</v>
      </c>
      <c r="AA28" s="1" t="s">
        <v>760</v>
      </c>
      <c r="AB28" s="1" t="s">
        <v>466</v>
      </c>
      <c r="AC28" s="1"/>
      <c r="AD28" s="1"/>
      <c r="AE28" s="1"/>
      <c r="AF28" s="1" t="s">
        <v>466</v>
      </c>
      <c r="AG28" s="1"/>
      <c r="AH28" s="1"/>
      <c r="AI28" s="1" t="s">
        <v>466</v>
      </c>
      <c r="AK28" s="3" t="s">
        <v>479</v>
      </c>
      <c r="AL28" s="1" t="s">
        <v>466</v>
      </c>
      <c r="AM28" t="s">
        <v>467</v>
      </c>
      <c r="AN28" s="1"/>
      <c r="AO28" s="1" t="s">
        <v>764</v>
      </c>
      <c r="AP28" s="1"/>
      <c r="AQ28" s="1" t="s">
        <v>466</v>
      </c>
      <c r="AR28" s="1"/>
      <c r="AS28" s="1"/>
      <c r="AT28" s="1"/>
      <c r="AU28" s="1"/>
      <c r="AV28" s="1"/>
      <c r="AW28" s="3" t="s">
        <v>648</v>
      </c>
      <c r="AX28" s="1" t="s">
        <v>1736</v>
      </c>
      <c r="AY28" s="14">
        <v>46120</v>
      </c>
      <c r="AZ28" s="3" t="s">
        <v>740</v>
      </c>
    </row>
    <row r="29" spans="1:52" x14ac:dyDescent="0.3">
      <c r="A29" s="1" t="s">
        <v>741</v>
      </c>
      <c r="B29" s="1" t="s">
        <v>23</v>
      </c>
      <c r="C29" s="1" t="s">
        <v>100</v>
      </c>
      <c r="D29" s="13" t="s">
        <v>647</v>
      </c>
      <c r="E29" s="11" t="s">
        <v>297</v>
      </c>
      <c r="F29" s="3" t="s">
        <v>500</v>
      </c>
      <c r="G29" s="3" t="s">
        <v>646</v>
      </c>
      <c r="H29" s="1" t="s">
        <v>765</v>
      </c>
      <c r="I29" s="1" t="s">
        <v>467</v>
      </c>
      <c r="J29" s="1" t="s">
        <v>466</v>
      </c>
      <c r="K29" s="1" t="s">
        <v>466</v>
      </c>
      <c r="L29" s="1" t="s">
        <v>755</v>
      </c>
      <c r="M29" s="1" t="s">
        <v>467</v>
      </c>
      <c r="N29" s="1" t="s">
        <v>466</v>
      </c>
      <c r="O29" s="1" t="s">
        <v>757</v>
      </c>
      <c r="P29" s="1"/>
      <c r="Q29" s="1"/>
      <c r="R29" s="1"/>
      <c r="S29" s="3" t="s">
        <v>264</v>
      </c>
      <c r="T29" s="1" t="s">
        <v>466</v>
      </c>
      <c r="U29" s="1" t="s">
        <v>466</v>
      </c>
      <c r="V29" s="1" t="s">
        <v>466</v>
      </c>
      <c r="W29" s="1" t="s">
        <v>466</v>
      </c>
      <c r="X29" s="1" t="s">
        <v>466</v>
      </c>
      <c r="Y29" s="1"/>
      <c r="Z29" s="1" t="s">
        <v>467</v>
      </c>
      <c r="AA29" s="1" t="s">
        <v>760</v>
      </c>
      <c r="AB29" s="1" t="s">
        <v>466</v>
      </c>
      <c r="AC29" s="1"/>
      <c r="AD29" s="1"/>
      <c r="AE29" s="1"/>
      <c r="AF29" s="1" t="s">
        <v>466</v>
      </c>
      <c r="AG29" s="1"/>
      <c r="AH29" s="1" t="s">
        <v>466</v>
      </c>
      <c r="AI29" s="1" t="s">
        <v>466</v>
      </c>
      <c r="AK29" s="3" t="s">
        <v>479</v>
      </c>
      <c r="AL29" s="1" t="s">
        <v>466</v>
      </c>
      <c r="AM29" t="s">
        <v>467</v>
      </c>
      <c r="AN29" s="1" t="s">
        <v>466</v>
      </c>
      <c r="AO29" s="1" t="s">
        <v>764</v>
      </c>
      <c r="AP29" s="1"/>
      <c r="AQ29" s="1" t="s">
        <v>466</v>
      </c>
      <c r="AR29" s="1" t="s">
        <v>466</v>
      </c>
      <c r="AS29" s="1"/>
      <c r="AT29" s="1" t="s">
        <v>466</v>
      </c>
      <c r="AU29" s="1" t="s">
        <v>466</v>
      </c>
      <c r="AV29" s="1"/>
      <c r="AW29" s="3" t="s">
        <v>645</v>
      </c>
      <c r="AX29" s="1" t="s">
        <v>1737</v>
      </c>
      <c r="AY29" s="14">
        <v>46120</v>
      </c>
      <c r="AZ29" s="3" t="s">
        <v>740</v>
      </c>
    </row>
    <row r="30" spans="1:52" x14ac:dyDescent="0.3">
      <c r="A30" s="1" t="s">
        <v>741</v>
      </c>
      <c r="B30" s="1" t="s">
        <v>24</v>
      </c>
      <c r="C30" s="1" t="s">
        <v>101</v>
      </c>
      <c r="D30" s="3" t="s">
        <v>644</v>
      </c>
      <c r="E30" s="11" t="s">
        <v>298</v>
      </c>
      <c r="F30" s="3" t="s">
        <v>643</v>
      </c>
      <c r="G30" s="3" t="s">
        <v>642</v>
      </c>
      <c r="H30" s="1" t="s">
        <v>765</v>
      </c>
      <c r="I30" s="1" t="s">
        <v>467</v>
      </c>
      <c r="J30" s="1" t="s">
        <v>466</v>
      </c>
      <c r="K30" s="1" t="s">
        <v>467</v>
      </c>
      <c r="L30" s="1" t="s">
        <v>755</v>
      </c>
      <c r="M30" s="1" t="s">
        <v>466</v>
      </c>
      <c r="N30" s="1" t="s">
        <v>467</v>
      </c>
      <c r="P30" s="1"/>
      <c r="Q30" s="1" t="s">
        <v>758</v>
      </c>
      <c r="R30" s="1" t="s">
        <v>466</v>
      </c>
      <c r="S30" s="3" t="s">
        <v>269</v>
      </c>
      <c r="T30" s="1"/>
      <c r="U30" s="1" t="s">
        <v>466</v>
      </c>
      <c r="V30" s="1" t="s">
        <v>466</v>
      </c>
      <c r="W30" s="1"/>
      <c r="X30" s="1" t="s">
        <v>466</v>
      </c>
      <c r="Y30" s="1"/>
      <c r="Z30" s="1" t="s">
        <v>467</v>
      </c>
      <c r="AA30" s="1" t="s">
        <v>760</v>
      </c>
      <c r="AB30" s="1" t="s">
        <v>466</v>
      </c>
      <c r="AC30" s="1" t="s">
        <v>466</v>
      </c>
      <c r="AD30" s="1"/>
      <c r="AE30" s="1"/>
      <c r="AF30" s="1" t="s">
        <v>466</v>
      </c>
      <c r="AG30" s="1"/>
      <c r="AH30" s="1"/>
      <c r="AI30" s="1" t="s">
        <v>466</v>
      </c>
      <c r="AL30" s="1" t="s">
        <v>466</v>
      </c>
      <c r="AM30" t="s">
        <v>467</v>
      </c>
      <c r="AN30" s="1"/>
      <c r="AO30" s="1"/>
      <c r="AP30" s="1"/>
      <c r="AQ30" s="1" t="s">
        <v>466</v>
      </c>
      <c r="AR30" s="1"/>
      <c r="AS30" s="1"/>
      <c r="AT30" s="1"/>
      <c r="AU30" s="1"/>
      <c r="AV30" s="1"/>
      <c r="AW30" s="3" t="s">
        <v>639</v>
      </c>
      <c r="AX30" s="1" t="s">
        <v>1713</v>
      </c>
      <c r="AY30" s="14">
        <v>46120</v>
      </c>
      <c r="AZ30" s="3" t="s">
        <v>740</v>
      </c>
    </row>
    <row r="31" spans="1:52" x14ac:dyDescent="0.3">
      <c r="A31" s="1" t="s">
        <v>741</v>
      </c>
      <c r="B31" s="1" t="s">
        <v>25</v>
      </c>
      <c r="C31" s="1" t="s">
        <v>102</v>
      </c>
      <c r="D31" s="3" t="s">
        <v>641</v>
      </c>
      <c r="E31" s="11" t="s">
        <v>299</v>
      </c>
      <c r="F31" s="3" t="s">
        <v>640</v>
      </c>
      <c r="G31" s="3" t="s">
        <v>517</v>
      </c>
      <c r="H31" s="1" t="s">
        <v>765</v>
      </c>
      <c r="I31" s="1" t="s">
        <v>467</v>
      </c>
      <c r="J31" s="1" t="s">
        <v>466</v>
      </c>
      <c r="K31" s="1" t="s">
        <v>467</v>
      </c>
      <c r="L31" s="1" t="s">
        <v>755</v>
      </c>
      <c r="M31" s="1" t="s">
        <v>466</v>
      </c>
      <c r="N31" s="1" t="s">
        <v>467</v>
      </c>
      <c r="O31" s="1" t="s">
        <v>756</v>
      </c>
      <c r="P31" s="1"/>
      <c r="Q31" s="1" t="s">
        <v>758</v>
      </c>
      <c r="R31" s="1" t="s">
        <v>466</v>
      </c>
      <c r="S31" s="3" t="s">
        <v>270</v>
      </c>
      <c r="T31" s="1" t="s">
        <v>466</v>
      </c>
      <c r="U31" s="1" t="s">
        <v>466</v>
      </c>
      <c r="V31" s="1"/>
      <c r="W31" s="1" t="s">
        <v>466</v>
      </c>
      <c r="X31" s="1" t="s">
        <v>466</v>
      </c>
      <c r="Y31" s="1"/>
      <c r="Z31" s="1" t="s">
        <v>467</v>
      </c>
      <c r="AA31" s="1" t="s">
        <v>760</v>
      </c>
      <c r="AB31" s="1" t="s">
        <v>466</v>
      </c>
      <c r="AC31" s="1"/>
      <c r="AD31" s="1"/>
      <c r="AE31" s="1" t="s">
        <v>466</v>
      </c>
      <c r="AF31" s="1" t="s">
        <v>466</v>
      </c>
      <c r="AG31" s="1" t="s">
        <v>466</v>
      </c>
      <c r="AH31" s="1" t="s">
        <v>466</v>
      </c>
      <c r="AI31" s="1" t="s">
        <v>466</v>
      </c>
      <c r="AK31" s="1" t="s">
        <v>478</v>
      </c>
      <c r="AL31" s="1" t="s">
        <v>466</v>
      </c>
      <c r="AM31" t="s">
        <v>467</v>
      </c>
      <c r="AN31" s="1"/>
      <c r="AO31" s="1" t="s">
        <v>764</v>
      </c>
      <c r="AP31" s="1"/>
      <c r="AQ31" s="1" t="s">
        <v>466</v>
      </c>
      <c r="AR31" s="1" t="s">
        <v>466</v>
      </c>
      <c r="AS31" s="1" t="s">
        <v>466</v>
      </c>
      <c r="AT31" s="1"/>
      <c r="AU31" s="1"/>
      <c r="AV31" s="1" t="s">
        <v>762</v>
      </c>
      <c r="AW31" s="3" t="s">
        <v>639</v>
      </c>
      <c r="AX31" s="1" t="s">
        <v>1738</v>
      </c>
      <c r="AY31" s="14">
        <v>46120</v>
      </c>
      <c r="AZ31" s="3" t="s">
        <v>740</v>
      </c>
    </row>
    <row r="32" spans="1:52" x14ac:dyDescent="0.3">
      <c r="A32" s="1" t="s">
        <v>1717</v>
      </c>
      <c r="B32" s="1" t="s">
        <v>26</v>
      </c>
      <c r="C32" s="1" t="s">
        <v>106</v>
      </c>
      <c r="D32" s="3" t="s">
        <v>631</v>
      </c>
      <c r="E32" s="11" t="s">
        <v>303</v>
      </c>
      <c r="F32" s="3" t="s">
        <v>630</v>
      </c>
      <c r="G32" s="3" t="s">
        <v>629</v>
      </c>
      <c r="H32" s="1" t="s">
        <v>765</v>
      </c>
      <c r="I32" s="1" t="s">
        <v>467</v>
      </c>
      <c r="J32" s="1" t="s">
        <v>466</v>
      </c>
      <c r="K32" s="1" t="s">
        <v>467</v>
      </c>
      <c r="L32" s="1" t="s">
        <v>755</v>
      </c>
      <c r="M32" s="1" t="s">
        <v>467</v>
      </c>
      <c r="N32" s="1" t="s">
        <v>466</v>
      </c>
      <c r="O32" s="1" t="s">
        <v>757</v>
      </c>
      <c r="P32" s="1"/>
      <c r="Q32" s="1" t="s">
        <v>758</v>
      </c>
      <c r="R32" s="1"/>
      <c r="S32" s="3" t="s">
        <v>272</v>
      </c>
      <c r="T32" s="1"/>
      <c r="U32" s="1" t="s">
        <v>466</v>
      </c>
      <c r="V32" s="1"/>
      <c r="W32" s="1"/>
      <c r="X32" s="1"/>
      <c r="Y32" s="1"/>
      <c r="Z32" s="1" t="s">
        <v>466</v>
      </c>
      <c r="AB32" s="1" t="s">
        <v>466</v>
      </c>
      <c r="AC32" s="1"/>
      <c r="AD32" s="1"/>
      <c r="AE32" s="1"/>
      <c r="AF32" s="1" t="s">
        <v>466</v>
      </c>
      <c r="AG32" s="1"/>
      <c r="AH32" s="1"/>
      <c r="AI32" s="1"/>
      <c r="AK32" s="3" t="s">
        <v>477</v>
      </c>
      <c r="AL32" s="1"/>
      <c r="AN32" s="1"/>
      <c r="AO32" s="1"/>
      <c r="AP32" s="1"/>
      <c r="AQ32" s="1" t="s">
        <v>466</v>
      </c>
      <c r="AR32" s="1"/>
      <c r="AS32" s="1"/>
      <c r="AT32" s="1"/>
      <c r="AU32" s="1"/>
      <c r="AV32" s="1"/>
      <c r="AW32" s="3" t="s">
        <v>628</v>
      </c>
      <c r="AY32" s="14">
        <v>46120</v>
      </c>
      <c r="AZ32" s="3" t="s">
        <v>740</v>
      </c>
    </row>
    <row r="33" spans="1:52" x14ac:dyDescent="0.3">
      <c r="A33" s="1" t="s">
        <v>741</v>
      </c>
      <c r="B33" s="1" t="s">
        <v>27</v>
      </c>
      <c r="C33" s="1" t="s">
        <v>111</v>
      </c>
      <c r="D33" s="3" t="s">
        <v>619</v>
      </c>
      <c r="E33" s="11" t="s">
        <v>308</v>
      </c>
      <c r="F33" s="3" t="s">
        <v>505</v>
      </c>
      <c r="G33" s="3" t="s">
        <v>517</v>
      </c>
      <c r="H33" s="1" t="s">
        <v>765</v>
      </c>
      <c r="I33" s="1" t="s">
        <v>467</v>
      </c>
      <c r="J33" s="1" t="s">
        <v>466</v>
      </c>
      <c r="K33" s="1" t="s">
        <v>466</v>
      </c>
      <c r="L33" s="1" t="s">
        <v>755</v>
      </c>
      <c r="M33" s="1" t="s">
        <v>467</v>
      </c>
      <c r="N33" s="1" t="s">
        <v>466</v>
      </c>
      <c r="P33" s="1"/>
      <c r="Q33" s="1" t="s">
        <v>758</v>
      </c>
      <c r="R33" s="1" t="s">
        <v>466</v>
      </c>
      <c r="S33" s="3" t="s">
        <v>264</v>
      </c>
      <c r="T33" s="1" t="s">
        <v>466</v>
      </c>
      <c r="U33" s="1" t="s">
        <v>466</v>
      </c>
      <c r="V33" s="1" t="s">
        <v>466</v>
      </c>
      <c r="W33" s="1" t="s">
        <v>466</v>
      </c>
      <c r="X33" s="1" t="s">
        <v>466</v>
      </c>
      <c r="Y33" s="1"/>
      <c r="Z33" s="1" t="s">
        <v>467</v>
      </c>
      <c r="AA33" s="3" t="s">
        <v>760</v>
      </c>
      <c r="AB33" s="1" t="s">
        <v>466</v>
      </c>
      <c r="AC33" s="1" t="s">
        <v>466</v>
      </c>
      <c r="AD33" s="1"/>
      <c r="AE33" s="1" t="s">
        <v>466</v>
      </c>
      <c r="AF33" s="1" t="s">
        <v>466</v>
      </c>
      <c r="AG33" s="1" t="s">
        <v>466</v>
      </c>
      <c r="AH33" s="1"/>
      <c r="AI33" s="1" t="s">
        <v>466</v>
      </c>
      <c r="AL33" s="1" t="s">
        <v>466</v>
      </c>
      <c r="AM33" t="s">
        <v>467</v>
      </c>
      <c r="AN33" s="1"/>
      <c r="AO33" s="1"/>
      <c r="AP33" s="1"/>
      <c r="AQ33" s="1" t="s">
        <v>466</v>
      </c>
      <c r="AR33" s="1"/>
      <c r="AS33" s="1"/>
      <c r="AT33" s="1"/>
      <c r="AU33" s="1" t="s">
        <v>466</v>
      </c>
      <c r="AV33" s="1"/>
      <c r="AW33" s="3" t="s">
        <v>618</v>
      </c>
      <c r="AX33" s="1" t="s">
        <v>1739</v>
      </c>
      <c r="AY33" s="14">
        <v>46120</v>
      </c>
      <c r="AZ33" s="3" t="s">
        <v>740</v>
      </c>
    </row>
    <row r="34" spans="1:52" x14ac:dyDescent="0.3">
      <c r="A34" s="1" t="s">
        <v>1717</v>
      </c>
      <c r="B34" s="1" t="s">
        <v>28</v>
      </c>
      <c r="C34" s="1" t="s">
        <v>103</v>
      </c>
      <c r="D34" s="3" t="s">
        <v>638</v>
      </c>
      <c r="E34" s="3" t="s">
        <v>300</v>
      </c>
      <c r="F34" s="3" t="s">
        <v>637</v>
      </c>
      <c r="G34" s="3" t="s">
        <v>636</v>
      </c>
      <c r="H34" s="1" t="s">
        <v>765</v>
      </c>
      <c r="I34" s="1"/>
      <c r="J34" s="1"/>
      <c r="K34" s="1"/>
      <c r="M34" s="1" t="s">
        <v>466</v>
      </c>
      <c r="N34" s="1" t="s">
        <v>467</v>
      </c>
      <c r="P34" s="1"/>
      <c r="Q34" s="1" t="s">
        <v>758</v>
      </c>
      <c r="R34" s="1" t="s">
        <v>466</v>
      </c>
      <c r="S34" s="3" t="s">
        <v>271</v>
      </c>
      <c r="T34" s="1"/>
      <c r="U34" s="1"/>
      <c r="V34" s="1" t="s">
        <v>466</v>
      </c>
      <c r="W34" s="1"/>
      <c r="X34" s="1"/>
      <c r="Y34" s="1"/>
      <c r="Z34" s="1" t="s">
        <v>466</v>
      </c>
      <c r="AA34" s="3" t="s">
        <v>760</v>
      </c>
      <c r="AB34" s="1" t="s">
        <v>466</v>
      </c>
      <c r="AC34" s="1"/>
      <c r="AD34" s="1"/>
      <c r="AE34" s="1"/>
      <c r="AF34" s="1"/>
      <c r="AG34" s="1" t="s">
        <v>466</v>
      </c>
      <c r="AH34" s="1"/>
      <c r="AI34" s="1"/>
      <c r="AL34" s="1" t="s">
        <v>466</v>
      </c>
      <c r="AM34" t="s">
        <v>467</v>
      </c>
      <c r="AN34" s="1"/>
      <c r="AO34" s="1" t="s">
        <v>764</v>
      </c>
      <c r="AP34" s="1"/>
      <c r="AQ34" s="1" t="s">
        <v>466</v>
      </c>
      <c r="AR34" s="1" t="s">
        <v>466</v>
      </c>
      <c r="AS34" s="1"/>
      <c r="AT34" s="1"/>
      <c r="AU34" s="1"/>
      <c r="AV34" s="1"/>
      <c r="AW34" s="3" t="s">
        <v>532</v>
      </c>
      <c r="AY34" s="14">
        <v>46121</v>
      </c>
      <c r="AZ34" s="3" t="s">
        <v>740</v>
      </c>
    </row>
    <row r="35" spans="1:52" x14ac:dyDescent="0.3">
      <c r="A35" s="1" t="s">
        <v>741</v>
      </c>
      <c r="B35" s="1" t="s">
        <v>29</v>
      </c>
      <c r="C35" s="1" t="s">
        <v>113</v>
      </c>
      <c r="D35" s="3" t="s">
        <v>613</v>
      </c>
      <c r="E35" s="11" t="s">
        <v>310</v>
      </c>
      <c r="F35" s="3" t="s">
        <v>500</v>
      </c>
      <c r="G35" s="3" t="s">
        <v>612</v>
      </c>
      <c r="H35" s="1" t="s">
        <v>765</v>
      </c>
      <c r="I35" s="1" t="s">
        <v>467</v>
      </c>
      <c r="J35" s="1" t="s">
        <v>466</v>
      </c>
      <c r="K35" s="1" t="s">
        <v>466</v>
      </c>
      <c r="M35" s="1" t="s">
        <v>467</v>
      </c>
      <c r="N35" s="1" t="s">
        <v>466</v>
      </c>
      <c r="P35" s="1"/>
      <c r="Q35" s="1" t="s">
        <v>758</v>
      </c>
      <c r="R35" s="1"/>
      <c r="S35" s="3" t="s">
        <v>273</v>
      </c>
      <c r="T35" s="1" t="s">
        <v>466</v>
      </c>
      <c r="U35" s="1"/>
      <c r="V35" s="1"/>
      <c r="W35" s="1"/>
      <c r="X35" s="1" t="s">
        <v>466</v>
      </c>
      <c r="Y35" s="1"/>
      <c r="Z35" s="1" t="s">
        <v>467</v>
      </c>
      <c r="AA35" s="3" t="s">
        <v>759</v>
      </c>
      <c r="AB35" s="1" t="s">
        <v>466</v>
      </c>
      <c r="AC35" s="1"/>
      <c r="AD35" s="1"/>
      <c r="AE35" s="1"/>
      <c r="AF35" s="1"/>
      <c r="AG35" s="1"/>
      <c r="AH35" s="1"/>
      <c r="AI35" s="1" t="s">
        <v>466</v>
      </c>
      <c r="AL35" s="1" t="s">
        <v>466</v>
      </c>
      <c r="AM35" t="s">
        <v>466</v>
      </c>
      <c r="AN35" s="1" t="s">
        <v>466</v>
      </c>
      <c r="AO35" s="1" t="s">
        <v>482</v>
      </c>
      <c r="AP35" s="1"/>
      <c r="AQ35" s="1"/>
      <c r="AR35" s="1" t="s">
        <v>466</v>
      </c>
      <c r="AS35" s="1"/>
      <c r="AT35" s="1"/>
      <c r="AU35" s="1"/>
      <c r="AV35" s="1"/>
      <c r="AW35" s="3" t="s">
        <v>611</v>
      </c>
      <c r="AX35" s="1" t="s">
        <v>1713</v>
      </c>
      <c r="AY35" s="14">
        <v>46121</v>
      </c>
      <c r="AZ35" s="3" t="s">
        <v>740</v>
      </c>
    </row>
    <row r="36" spans="1:52" x14ac:dyDescent="0.3">
      <c r="A36" s="1" t="s">
        <v>741</v>
      </c>
      <c r="B36" s="1" t="s">
        <v>30</v>
      </c>
      <c r="C36" s="1" t="s">
        <v>115</v>
      </c>
      <c r="D36" s="3" t="s">
        <v>610</v>
      </c>
      <c r="E36" s="11" t="s">
        <v>312</v>
      </c>
      <c r="F36" s="3" t="s">
        <v>500</v>
      </c>
      <c r="G36" s="3" t="s">
        <v>609</v>
      </c>
      <c r="H36" s="1" t="s">
        <v>765</v>
      </c>
      <c r="I36" s="1" t="s">
        <v>467</v>
      </c>
      <c r="J36" s="1" t="s">
        <v>466</v>
      </c>
      <c r="K36" s="1" t="s">
        <v>467</v>
      </c>
      <c r="M36" s="1" t="s">
        <v>466</v>
      </c>
      <c r="N36" s="1" t="s">
        <v>467</v>
      </c>
      <c r="P36" s="1"/>
      <c r="Q36" s="1" t="s">
        <v>758</v>
      </c>
      <c r="R36" s="1"/>
      <c r="S36" s="3" t="s">
        <v>274</v>
      </c>
      <c r="T36" s="1"/>
      <c r="U36" s="1" t="s">
        <v>466</v>
      </c>
      <c r="V36" s="1" t="s">
        <v>466</v>
      </c>
      <c r="W36" s="1"/>
      <c r="X36" s="1"/>
      <c r="Y36" s="1" t="s">
        <v>466</v>
      </c>
      <c r="Z36" s="1" t="s">
        <v>467</v>
      </c>
      <c r="AA36" s="3" t="s">
        <v>760</v>
      </c>
      <c r="AB36" s="1" t="s">
        <v>466</v>
      </c>
      <c r="AC36" s="1" t="s">
        <v>466</v>
      </c>
      <c r="AD36" s="1" t="s">
        <v>466</v>
      </c>
      <c r="AE36" s="1"/>
      <c r="AF36" s="1" t="s">
        <v>466</v>
      </c>
      <c r="AG36" s="1"/>
      <c r="AH36" s="1" t="s">
        <v>466</v>
      </c>
      <c r="AI36" s="1" t="s">
        <v>466</v>
      </c>
      <c r="AK36" s="3" t="s">
        <v>479</v>
      </c>
      <c r="AL36" s="1" t="s">
        <v>466</v>
      </c>
      <c r="AM36" t="s">
        <v>467</v>
      </c>
      <c r="AN36" s="1"/>
      <c r="AO36" s="1"/>
      <c r="AP36" s="1"/>
      <c r="AQ36" s="1" t="s">
        <v>466</v>
      </c>
      <c r="AR36" s="1" t="s">
        <v>466</v>
      </c>
      <c r="AS36" s="1" t="s">
        <v>466</v>
      </c>
      <c r="AT36" s="1"/>
      <c r="AU36" s="1" t="s">
        <v>466</v>
      </c>
      <c r="AV36" s="1"/>
      <c r="AW36" s="3" t="s">
        <v>608</v>
      </c>
      <c r="AX36" s="1" t="s">
        <v>1713</v>
      </c>
      <c r="AY36" s="14">
        <v>46121</v>
      </c>
      <c r="AZ36" s="3" t="s">
        <v>740</v>
      </c>
    </row>
    <row r="37" spans="1:52" x14ac:dyDescent="0.3">
      <c r="A37" s="1" t="s">
        <v>741</v>
      </c>
      <c r="B37" s="1" t="s">
        <v>31</v>
      </c>
      <c r="C37" s="1" t="s">
        <v>116</v>
      </c>
      <c r="D37" s="3" t="s">
        <v>607</v>
      </c>
      <c r="E37" s="11" t="s">
        <v>313</v>
      </c>
      <c r="F37" s="3" t="s">
        <v>500</v>
      </c>
      <c r="G37" s="3" t="s">
        <v>606</v>
      </c>
      <c r="H37" s="1" t="s">
        <v>765</v>
      </c>
      <c r="I37" s="1" t="s">
        <v>467</v>
      </c>
      <c r="J37" s="1" t="s">
        <v>466</v>
      </c>
      <c r="K37" s="1"/>
      <c r="L37" s="3" t="s">
        <v>755</v>
      </c>
      <c r="M37" s="1"/>
      <c r="N37" s="1"/>
      <c r="P37" s="1"/>
      <c r="Q37" s="1" t="s">
        <v>758</v>
      </c>
      <c r="R37" s="1" t="s">
        <v>466</v>
      </c>
      <c r="S37" s="3" t="s">
        <v>275</v>
      </c>
      <c r="T37" s="1" t="s">
        <v>466</v>
      </c>
      <c r="U37" s="1"/>
      <c r="V37" s="1" t="s">
        <v>466</v>
      </c>
      <c r="W37" s="1"/>
      <c r="X37" s="1"/>
      <c r="Y37" s="1" t="s">
        <v>466</v>
      </c>
      <c r="Z37" s="1" t="s">
        <v>467</v>
      </c>
      <c r="AA37" s="3" t="s">
        <v>760</v>
      </c>
      <c r="AB37" s="1" t="s">
        <v>466</v>
      </c>
      <c r="AC37" s="1"/>
      <c r="AD37" s="1"/>
      <c r="AE37" s="1"/>
      <c r="AF37" s="1"/>
      <c r="AG37" s="1" t="s">
        <v>466</v>
      </c>
      <c r="AH37" s="1"/>
      <c r="AI37" s="1"/>
      <c r="AK37" s="3" t="s">
        <v>479</v>
      </c>
      <c r="AL37" s="1" t="s">
        <v>466</v>
      </c>
      <c r="AM37" t="s">
        <v>467</v>
      </c>
      <c r="AN37" s="1"/>
      <c r="AO37" s="1"/>
      <c r="AP37" s="1"/>
      <c r="AQ37" s="1" t="s">
        <v>466</v>
      </c>
      <c r="AR37" s="1" t="s">
        <v>466</v>
      </c>
      <c r="AS37" s="1" t="s">
        <v>466</v>
      </c>
      <c r="AT37" s="1"/>
      <c r="AU37" s="1" t="s">
        <v>466</v>
      </c>
      <c r="AV37" s="1"/>
      <c r="AW37" s="3" t="s">
        <v>605</v>
      </c>
      <c r="AX37" s="1" t="s">
        <v>1713</v>
      </c>
      <c r="AY37" s="14">
        <v>46121</v>
      </c>
      <c r="AZ37" s="3" t="s">
        <v>740</v>
      </c>
    </row>
    <row r="38" spans="1:52" x14ac:dyDescent="0.3">
      <c r="A38" s="1" t="s">
        <v>741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500</v>
      </c>
      <c r="G38" s="3" t="s">
        <v>604</v>
      </c>
      <c r="H38" s="1" t="s">
        <v>765</v>
      </c>
      <c r="I38" s="1" t="s">
        <v>467</v>
      </c>
      <c r="J38" s="1" t="s">
        <v>466</v>
      </c>
      <c r="K38" s="1"/>
      <c r="M38" s="1" t="s">
        <v>467</v>
      </c>
      <c r="N38" s="1" t="s">
        <v>466</v>
      </c>
      <c r="O38" s="1" t="s">
        <v>757</v>
      </c>
      <c r="P38" s="1"/>
      <c r="Q38" s="1" t="s">
        <v>758</v>
      </c>
      <c r="R38" s="1" t="s">
        <v>466</v>
      </c>
      <c r="S38" s="3" t="s">
        <v>276</v>
      </c>
      <c r="T38" s="1" t="s">
        <v>466</v>
      </c>
      <c r="U38" s="1" t="s">
        <v>466</v>
      </c>
      <c r="V38" s="1" t="s">
        <v>466</v>
      </c>
      <c r="W38" s="1" t="s">
        <v>466</v>
      </c>
      <c r="X38" s="1"/>
      <c r="Y38" s="1" t="s">
        <v>466</v>
      </c>
      <c r="Z38" s="1" t="s">
        <v>467</v>
      </c>
      <c r="AA38" s="3" t="s">
        <v>760</v>
      </c>
      <c r="AB38" s="1" t="s">
        <v>466</v>
      </c>
      <c r="AC38" s="1" t="s">
        <v>466</v>
      </c>
      <c r="AD38" s="1" t="s">
        <v>466</v>
      </c>
      <c r="AE38" s="1"/>
      <c r="AF38" s="1" t="s">
        <v>466</v>
      </c>
      <c r="AG38" s="1" t="s">
        <v>466</v>
      </c>
      <c r="AH38" s="1"/>
      <c r="AI38" s="1" t="s">
        <v>466</v>
      </c>
      <c r="AL38" s="1" t="s">
        <v>466</v>
      </c>
      <c r="AM38" t="s">
        <v>467</v>
      </c>
      <c r="AN38" s="1"/>
      <c r="AO38" s="1" t="s">
        <v>764</v>
      </c>
      <c r="AP38" s="1"/>
      <c r="AQ38" s="1" t="s">
        <v>466</v>
      </c>
      <c r="AR38" s="1" t="s">
        <v>466</v>
      </c>
      <c r="AS38" s="1" t="s">
        <v>466</v>
      </c>
      <c r="AT38" s="1"/>
      <c r="AU38" s="1"/>
      <c r="AV38" s="1" t="s">
        <v>762</v>
      </c>
      <c r="AX38" s="1" t="s">
        <v>1713</v>
      </c>
      <c r="AY38" s="14">
        <v>46121</v>
      </c>
      <c r="AZ38" s="3" t="s">
        <v>740</v>
      </c>
    </row>
    <row r="39" spans="1:52" x14ac:dyDescent="0.3">
      <c r="A39" s="1" t="s">
        <v>741</v>
      </c>
      <c r="B39" s="1" t="s">
        <v>33</v>
      </c>
      <c r="C39" s="1" t="s">
        <v>118</v>
      </c>
      <c r="D39" s="3" t="s">
        <v>603</v>
      </c>
      <c r="E39" s="11" t="s">
        <v>315</v>
      </c>
      <c r="F39" s="3" t="s">
        <v>500</v>
      </c>
      <c r="G39" s="3" t="s">
        <v>602</v>
      </c>
      <c r="H39" s="1" t="s">
        <v>765</v>
      </c>
      <c r="I39" s="1" t="s">
        <v>467</v>
      </c>
      <c r="J39" s="1" t="s">
        <v>466</v>
      </c>
      <c r="K39" s="1" t="s">
        <v>467</v>
      </c>
      <c r="M39" s="1" t="s">
        <v>466</v>
      </c>
      <c r="N39" s="1" t="s">
        <v>466</v>
      </c>
      <c r="P39" s="1"/>
      <c r="Q39" s="1" t="s">
        <v>758</v>
      </c>
      <c r="R39" s="1" t="s">
        <v>466</v>
      </c>
      <c r="S39" s="3" t="s">
        <v>277</v>
      </c>
      <c r="T39" s="1" t="s">
        <v>466</v>
      </c>
      <c r="U39" s="1" t="s">
        <v>466</v>
      </c>
      <c r="V39" s="1" t="s">
        <v>466</v>
      </c>
      <c r="W39" s="1"/>
      <c r="X39" s="1" t="s">
        <v>466</v>
      </c>
      <c r="Y39" s="1"/>
      <c r="Z39" s="1" t="s">
        <v>467</v>
      </c>
      <c r="AA39" s="3" t="s">
        <v>760</v>
      </c>
      <c r="AB39" s="1" t="s">
        <v>466</v>
      </c>
      <c r="AC39" s="1" t="s">
        <v>466</v>
      </c>
      <c r="AD39" s="1" t="s">
        <v>466</v>
      </c>
      <c r="AE39" s="1" t="s">
        <v>466</v>
      </c>
      <c r="AF39" s="1" t="s">
        <v>466</v>
      </c>
      <c r="AG39" s="1" t="s">
        <v>466</v>
      </c>
      <c r="AH39" s="1"/>
      <c r="AI39" s="1"/>
      <c r="AK39" s="3" t="s">
        <v>478</v>
      </c>
      <c r="AL39" s="1" t="s">
        <v>466</v>
      </c>
      <c r="AM39" t="s">
        <v>467</v>
      </c>
      <c r="AN39" s="1"/>
      <c r="AO39" s="1" t="s">
        <v>764</v>
      </c>
      <c r="AP39" s="1"/>
      <c r="AQ39" s="1" t="s">
        <v>466</v>
      </c>
      <c r="AR39" s="1" t="s">
        <v>466</v>
      </c>
      <c r="AS39" s="1" t="s">
        <v>466</v>
      </c>
      <c r="AT39" s="1"/>
      <c r="AU39" s="1"/>
      <c r="AV39" s="1"/>
      <c r="AX39" s="1" t="s">
        <v>1713</v>
      </c>
      <c r="AY39" s="14">
        <v>46121</v>
      </c>
      <c r="AZ39" s="3" t="s">
        <v>740</v>
      </c>
    </row>
    <row r="40" spans="1:52" x14ac:dyDescent="0.3">
      <c r="A40" s="1" t="s">
        <v>741</v>
      </c>
      <c r="B40" s="1" t="s">
        <v>34</v>
      </c>
      <c r="C40" s="1" t="s">
        <v>112</v>
      </c>
      <c r="D40" s="3" t="s">
        <v>617</v>
      </c>
      <c r="E40" s="11" t="s">
        <v>309</v>
      </c>
      <c r="F40" s="3" t="s">
        <v>616</v>
      </c>
      <c r="G40" s="3" t="s">
        <v>615</v>
      </c>
      <c r="H40" s="1" t="s">
        <v>765</v>
      </c>
      <c r="I40" s="1" t="s">
        <v>467</v>
      </c>
      <c r="J40" s="1" t="s">
        <v>466</v>
      </c>
      <c r="K40" s="1" t="s">
        <v>467</v>
      </c>
      <c r="L40" s="1" t="s">
        <v>755</v>
      </c>
      <c r="M40" s="1" t="s">
        <v>467</v>
      </c>
      <c r="N40" s="1" t="s">
        <v>466</v>
      </c>
      <c r="O40" s="1" t="s">
        <v>756</v>
      </c>
      <c r="P40" s="1"/>
      <c r="Q40" s="1" t="s">
        <v>758</v>
      </c>
      <c r="R40" s="1" t="s">
        <v>466</v>
      </c>
      <c r="S40" s="3" t="s">
        <v>268</v>
      </c>
      <c r="T40" s="1" t="s">
        <v>466</v>
      </c>
      <c r="U40" s="1" t="s">
        <v>466</v>
      </c>
      <c r="V40" s="1"/>
      <c r="W40" s="1"/>
      <c r="X40" s="1"/>
      <c r="Y40" s="1" t="s">
        <v>466</v>
      </c>
      <c r="Z40" s="1" t="s">
        <v>467</v>
      </c>
      <c r="AA40" s="3" t="s">
        <v>760</v>
      </c>
      <c r="AB40" s="1" t="s">
        <v>466</v>
      </c>
      <c r="AC40" s="1"/>
      <c r="AD40" s="1"/>
      <c r="AE40" s="1"/>
      <c r="AF40" s="1" t="s">
        <v>466</v>
      </c>
      <c r="AG40" s="1" t="s">
        <v>466</v>
      </c>
      <c r="AH40" s="1"/>
      <c r="AI40" s="1" t="s">
        <v>466</v>
      </c>
      <c r="AK40" s="3" t="s">
        <v>478</v>
      </c>
      <c r="AL40" s="1" t="s">
        <v>466</v>
      </c>
      <c r="AM40" t="s">
        <v>467</v>
      </c>
      <c r="AN40" s="1"/>
      <c r="AO40" s="1" t="s">
        <v>764</v>
      </c>
      <c r="AP40" s="1"/>
      <c r="AQ40" s="1" t="s">
        <v>466</v>
      </c>
      <c r="AR40" s="1" t="s">
        <v>466</v>
      </c>
      <c r="AS40" s="1"/>
      <c r="AT40" s="1"/>
      <c r="AU40" s="1" t="s">
        <v>466</v>
      </c>
      <c r="AV40" s="1"/>
      <c r="AW40" s="3" t="s">
        <v>614</v>
      </c>
      <c r="AX40" s="1" t="s">
        <v>1740</v>
      </c>
      <c r="AY40" s="14">
        <v>46121</v>
      </c>
      <c r="AZ40" s="3" t="s">
        <v>740</v>
      </c>
    </row>
    <row r="41" spans="1:52" x14ac:dyDescent="0.3">
      <c r="A41" s="1" t="s">
        <v>742</v>
      </c>
      <c r="B41" s="1" t="s">
        <v>35</v>
      </c>
      <c r="C41" s="1" t="s">
        <v>107</v>
      </c>
      <c r="D41" s="3" t="s">
        <v>627</v>
      </c>
      <c r="E41" s="11" t="s">
        <v>304</v>
      </c>
      <c r="F41" s="3" t="s">
        <v>626</v>
      </c>
      <c r="H41" s="1" t="s">
        <v>765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742</v>
      </c>
      <c r="B42" s="1" t="s">
        <v>36</v>
      </c>
      <c r="C42" s="1" t="s">
        <v>108</v>
      </c>
      <c r="D42" s="3" t="s">
        <v>625</v>
      </c>
      <c r="E42" s="11" t="s">
        <v>305</v>
      </c>
      <c r="F42" s="3" t="s">
        <v>624</v>
      </c>
      <c r="H42" s="1" t="s">
        <v>765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742</v>
      </c>
      <c r="B43" s="1" t="s">
        <v>37</v>
      </c>
      <c r="C43" s="1" t="s">
        <v>109</v>
      </c>
      <c r="D43" s="3" t="s">
        <v>623</v>
      </c>
      <c r="E43" s="11" t="s">
        <v>306</v>
      </c>
      <c r="F43" s="3" t="s">
        <v>622</v>
      </c>
      <c r="H43" s="1" t="s">
        <v>765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742</v>
      </c>
      <c r="B44" s="1" t="s">
        <v>38</v>
      </c>
      <c r="C44" s="1" t="s">
        <v>110</v>
      </c>
      <c r="D44" s="3" t="s">
        <v>621</v>
      </c>
      <c r="E44" s="11" t="s">
        <v>307</v>
      </c>
      <c r="F44" s="3" t="s">
        <v>620</v>
      </c>
      <c r="H44" s="1" t="s">
        <v>765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742</v>
      </c>
      <c r="B45" s="1" t="s">
        <v>39</v>
      </c>
      <c r="C45" s="1" t="s">
        <v>104</v>
      </c>
      <c r="D45" s="3" t="s">
        <v>635</v>
      </c>
      <c r="E45" s="11" t="s">
        <v>301</v>
      </c>
      <c r="F45" s="3" t="s">
        <v>634</v>
      </c>
      <c r="H45" s="1" t="s">
        <v>765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742</v>
      </c>
      <c r="B46" s="1" t="s">
        <v>40</v>
      </c>
      <c r="C46" s="1" t="s">
        <v>105</v>
      </c>
      <c r="D46" s="3" t="s">
        <v>633</v>
      </c>
      <c r="E46" s="11" t="s">
        <v>302</v>
      </c>
      <c r="F46" s="3" t="s">
        <v>632</v>
      </c>
      <c r="G46" s="3" t="s">
        <v>629</v>
      </c>
      <c r="H46" s="1" t="s">
        <v>765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742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765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741</v>
      </c>
      <c r="B48" s="1" t="s">
        <v>42</v>
      </c>
      <c r="C48" s="1" t="s">
        <v>119</v>
      </c>
      <c r="D48" s="3" t="s">
        <v>600</v>
      </c>
      <c r="E48" s="11" t="s">
        <v>316</v>
      </c>
      <c r="F48" s="1" t="s">
        <v>1692</v>
      </c>
      <c r="G48" s="1" t="s">
        <v>1691</v>
      </c>
      <c r="H48" s="1" t="s">
        <v>765</v>
      </c>
      <c r="I48" s="1" t="s">
        <v>467</v>
      </c>
      <c r="J48" s="1" t="s">
        <v>466</v>
      </c>
      <c r="K48" s="1" t="s">
        <v>467</v>
      </c>
      <c r="L48" s="1" t="s">
        <v>755</v>
      </c>
      <c r="M48" s="1" t="s">
        <v>467</v>
      </c>
      <c r="N48" s="1" t="s">
        <v>466</v>
      </c>
      <c r="O48" s="1" t="s">
        <v>756</v>
      </c>
      <c r="P48" s="1"/>
      <c r="Q48" s="1" t="s">
        <v>758</v>
      </c>
      <c r="R48" s="1" t="s">
        <v>466</v>
      </c>
      <c r="S48" s="3" t="s">
        <v>1693</v>
      </c>
      <c r="T48" s="1"/>
      <c r="U48" s="1" t="s">
        <v>466</v>
      </c>
      <c r="V48" s="1" t="s">
        <v>466</v>
      </c>
      <c r="W48" s="1" t="s">
        <v>466</v>
      </c>
      <c r="X48" s="1"/>
      <c r="Y48" s="1" t="s">
        <v>466</v>
      </c>
      <c r="Z48" s="1" t="s">
        <v>467</v>
      </c>
      <c r="AA48" s="1" t="s">
        <v>759</v>
      </c>
      <c r="AB48" s="1" t="s">
        <v>466</v>
      </c>
      <c r="AC48" s="1"/>
      <c r="AD48" s="1"/>
      <c r="AE48" s="1"/>
      <c r="AF48" s="1" t="s">
        <v>466</v>
      </c>
      <c r="AG48" s="1" t="s">
        <v>466</v>
      </c>
      <c r="AH48" s="1"/>
      <c r="AI48" s="1" t="s">
        <v>466</v>
      </c>
      <c r="AL48" s="1" t="s">
        <v>466</v>
      </c>
      <c r="AM48" t="s">
        <v>467</v>
      </c>
      <c r="AN48" s="1"/>
      <c r="AO48" s="1" t="s">
        <v>764</v>
      </c>
      <c r="AP48" s="1"/>
      <c r="AQ48" s="1" t="s">
        <v>466</v>
      </c>
      <c r="AR48" s="1" t="s">
        <v>466</v>
      </c>
      <c r="AS48" s="1"/>
      <c r="AT48" s="1" t="s">
        <v>466</v>
      </c>
      <c r="AU48" s="1"/>
      <c r="AV48" s="1" t="s">
        <v>762</v>
      </c>
      <c r="AW48" s="3" t="s">
        <v>1694</v>
      </c>
      <c r="AX48" s="3" t="s">
        <v>1696</v>
      </c>
      <c r="AY48" s="14">
        <v>46177</v>
      </c>
      <c r="AZ48" s="3" t="s">
        <v>740</v>
      </c>
    </row>
    <row r="49" spans="1:52" x14ac:dyDescent="0.3">
      <c r="A49" s="1" t="s">
        <v>741</v>
      </c>
      <c r="B49" s="1" t="s">
        <v>43</v>
      </c>
      <c r="C49" s="1" t="s">
        <v>120</v>
      </c>
      <c r="D49" s="3" t="s">
        <v>599</v>
      </c>
      <c r="E49" s="11" t="s">
        <v>317</v>
      </c>
      <c r="F49" s="1" t="s">
        <v>500</v>
      </c>
      <c r="G49" s="1" t="s">
        <v>1697</v>
      </c>
      <c r="H49" s="1" t="s">
        <v>765</v>
      </c>
      <c r="I49" s="1" t="s">
        <v>467</v>
      </c>
      <c r="J49" s="1" t="s">
        <v>466</v>
      </c>
      <c r="K49" s="1" t="s">
        <v>467</v>
      </c>
      <c r="L49" s="1" t="s">
        <v>755</v>
      </c>
      <c r="M49" s="1" t="s">
        <v>466</v>
      </c>
      <c r="N49" s="1" t="s">
        <v>466</v>
      </c>
      <c r="O49" s="1"/>
      <c r="P49" s="1"/>
      <c r="Q49" s="1" t="s">
        <v>758</v>
      </c>
      <c r="R49" s="1"/>
      <c r="S49" s="3" t="s">
        <v>1693</v>
      </c>
      <c r="T49" s="1"/>
      <c r="U49" s="1" t="s">
        <v>466</v>
      </c>
      <c r="V49" s="1" t="s">
        <v>466</v>
      </c>
      <c r="W49" s="1" t="s">
        <v>466</v>
      </c>
      <c r="X49" s="1"/>
      <c r="Y49" s="1" t="s">
        <v>466</v>
      </c>
      <c r="Z49" s="1" t="s">
        <v>467</v>
      </c>
      <c r="AA49" s="3" t="s">
        <v>760</v>
      </c>
      <c r="AB49" s="1" t="s">
        <v>466</v>
      </c>
      <c r="AC49" s="1" t="s">
        <v>466</v>
      </c>
      <c r="AD49" s="1"/>
      <c r="AE49" s="1"/>
      <c r="AF49" s="1" t="s">
        <v>466</v>
      </c>
      <c r="AG49" s="1"/>
      <c r="AH49" s="1"/>
      <c r="AI49" s="1"/>
      <c r="AK49" s="3" t="s">
        <v>479</v>
      </c>
      <c r="AL49" s="1" t="s">
        <v>466</v>
      </c>
      <c r="AM49" t="s">
        <v>467</v>
      </c>
      <c r="AN49" s="1" t="s">
        <v>466</v>
      </c>
      <c r="AO49" s="1" t="s">
        <v>764</v>
      </c>
      <c r="AP49" s="1"/>
      <c r="AQ49" s="1" t="s">
        <v>466</v>
      </c>
      <c r="AR49" s="1" t="s">
        <v>466</v>
      </c>
      <c r="AS49" s="1"/>
      <c r="AT49" s="1"/>
      <c r="AU49" s="1" t="s">
        <v>466</v>
      </c>
      <c r="AV49" s="1"/>
      <c r="AW49" s="3" t="s">
        <v>655</v>
      </c>
      <c r="AX49" s="3" t="s">
        <v>1698</v>
      </c>
      <c r="AY49" s="14">
        <v>46177</v>
      </c>
      <c r="AZ49" s="3" t="s">
        <v>740</v>
      </c>
    </row>
    <row r="50" spans="1:52" x14ac:dyDescent="0.3">
      <c r="A50" s="1" t="s">
        <v>741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500</v>
      </c>
      <c r="G50" s="1" t="s">
        <v>1701</v>
      </c>
      <c r="H50" s="1" t="s">
        <v>765</v>
      </c>
      <c r="I50" s="1" t="s">
        <v>467</v>
      </c>
      <c r="J50" s="1" t="s">
        <v>466</v>
      </c>
      <c r="K50" s="1" t="s">
        <v>466</v>
      </c>
      <c r="L50" s="1" t="s">
        <v>755</v>
      </c>
      <c r="M50" s="1" t="s">
        <v>467</v>
      </c>
      <c r="N50" s="1" t="s">
        <v>466</v>
      </c>
      <c r="O50" s="1"/>
      <c r="P50" s="1"/>
      <c r="Q50" s="1" t="s">
        <v>758</v>
      </c>
      <c r="R50" s="1"/>
      <c r="S50" s="1" t="s">
        <v>277</v>
      </c>
      <c r="T50" s="1" t="s">
        <v>466</v>
      </c>
      <c r="U50" s="1" t="s">
        <v>466</v>
      </c>
      <c r="V50" s="1" t="s">
        <v>466</v>
      </c>
      <c r="W50" s="1"/>
      <c r="X50" s="1"/>
      <c r="Y50" s="1" t="s">
        <v>466</v>
      </c>
      <c r="Z50" s="1" t="s">
        <v>467</v>
      </c>
      <c r="AA50" s="1" t="s">
        <v>760</v>
      </c>
      <c r="AB50" s="1" t="s">
        <v>466</v>
      </c>
      <c r="AC50" s="1"/>
      <c r="AD50" s="1"/>
      <c r="AE50" s="1"/>
      <c r="AF50" s="1"/>
      <c r="AG50" s="1"/>
      <c r="AH50" s="1"/>
      <c r="AI50" s="1" t="s">
        <v>466</v>
      </c>
      <c r="AK50" s="3" t="s">
        <v>477</v>
      </c>
      <c r="AL50" s="1" t="s">
        <v>466</v>
      </c>
      <c r="AM50" t="s">
        <v>467</v>
      </c>
      <c r="AN50" s="1"/>
      <c r="AO50" s="1"/>
      <c r="AP50" s="1"/>
      <c r="AQ50" s="1" t="s">
        <v>466</v>
      </c>
      <c r="AR50" s="1" t="s">
        <v>466</v>
      </c>
      <c r="AS50" s="1"/>
      <c r="AT50" s="1"/>
      <c r="AU50" s="1"/>
      <c r="AV50" s="1"/>
      <c r="AW50" s="1" t="s">
        <v>1699</v>
      </c>
      <c r="AX50" s="3" t="s">
        <v>1715</v>
      </c>
      <c r="AY50" s="14">
        <v>46177</v>
      </c>
      <c r="AZ50" s="3" t="s">
        <v>740</v>
      </c>
    </row>
    <row r="51" spans="1:52" x14ac:dyDescent="0.3">
      <c r="A51" s="1" t="s">
        <v>741</v>
      </c>
      <c r="B51" s="1" t="s">
        <v>45</v>
      </c>
      <c r="C51" s="1" t="s">
        <v>121</v>
      </c>
      <c r="D51" s="3" t="s">
        <v>598</v>
      </c>
      <c r="E51" s="11" t="s">
        <v>319</v>
      </c>
      <c r="F51" s="1" t="s">
        <v>500</v>
      </c>
      <c r="G51" s="1" t="s">
        <v>1702</v>
      </c>
      <c r="H51" s="1" t="s">
        <v>765</v>
      </c>
      <c r="I51" s="1" t="s">
        <v>467</v>
      </c>
      <c r="J51" s="1" t="s">
        <v>466</v>
      </c>
      <c r="K51" s="1" t="s">
        <v>467</v>
      </c>
      <c r="L51" s="1" t="s">
        <v>755</v>
      </c>
      <c r="M51" s="1" t="s">
        <v>467</v>
      </c>
      <c r="N51" s="1" t="s">
        <v>466</v>
      </c>
      <c r="O51" s="1" t="s">
        <v>757</v>
      </c>
      <c r="P51" s="1" t="s">
        <v>466</v>
      </c>
      <c r="Q51" s="1" t="s">
        <v>758</v>
      </c>
      <c r="R51" s="1"/>
      <c r="S51" s="1" t="s">
        <v>264</v>
      </c>
      <c r="T51" s="1" t="s">
        <v>466</v>
      </c>
      <c r="U51" s="1" t="s">
        <v>466</v>
      </c>
      <c r="V51" s="1" t="s">
        <v>466</v>
      </c>
      <c r="W51" s="1" t="s">
        <v>466</v>
      </c>
      <c r="X51" s="1"/>
      <c r="Y51" s="1"/>
      <c r="Z51" s="1" t="s">
        <v>467</v>
      </c>
      <c r="AA51" s="1" t="s">
        <v>760</v>
      </c>
      <c r="AB51" s="1" t="s">
        <v>466</v>
      </c>
      <c r="AC51" s="1" t="s">
        <v>466</v>
      </c>
      <c r="AD51" s="1"/>
      <c r="AE51" s="1"/>
      <c r="AF51" s="1" t="s">
        <v>466</v>
      </c>
      <c r="AG51" s="1"/>
      <c r="AH51" s="1"/>
      <c r="AI51" s="1" t="s">
        <v>466</v>
      </c>
      <c r="AK51" s="1" t="s">
        <v>478</v>
      </c>
      <c r="AL51" s="1" t="s">
        <v>466</v>
      </c>
      <c r="AM51" t="s">
        <v>467</v>
      </c>
      <c r="AN51" s="1" t="s">
        <v>466</v>
      </c>
      <c r="AO51" s="1" t="s">
        <v>764</v>
      </c>
      <c r="AP51" s="1"/>
      <c r="AQ51" s="1" t="s">
        <v>466</v>
      </c>
      <c r="AR51" s="1" t="s">
        <v>466</v>
      </c>
      <c r="AS51" s="1" t="s">
        <v>466</v>
      </c>
      <c r="AT51" s="1" t="s">
        <v>466</v>
      </c>
      <c r="AU51" s="1"/>
      <c r="AV51" s="1" t="s">
        <v>762</v>
      </c>
      <c r="AW51" s="1" t="s">
        <v>1703</v>
      </c>
      <c r="AX51" s="1" t="s">
        <v>1700</v>
      </c>
      <c r="AY51" s="14">
        <v>46177</v>
      </c>
      <c r="AZ51" s="3" t="s">
        <v>740</v>
      </c>
    </row>
    <row r="52" spans="1:52" x14ac:dyDescent="0.3">
      <c r="A52" s="1" t="s">
        <v>741</v>
      </c>
      <c r="B52" s="1" t="s">
        <v>46</v>
      </c>
      <c r="C52" s="1" t="s">
        <v>122</v>
      </c>
      <c r="D52" s="3" t="s">
        <v>597</v>
      </c>
      <c r="E52" s="11" t="s">
        <v>320</v>
      </c>
      <c r="F52" s="1" t="s">
        <v>1705</v>
      </c>
      <c r="G52" s="1" t="s">
        <v>1706</v>
      </c>
      <c r="H52" s="1" t="s">
        <v>765</v>
      </c>
      <c r="I52" s="1" t="s">
        <v>467</v>
      </c>
      <c r="J52" s="1" t="s">
        <v>466</v>
      </c>
      <c r="K52" s="1" t="s">
        <v>467</v>
      </c>
      <c r="L52" s="1" t="s">
        <v>755</v>
      </c>
      <c r="M52" s="1" t="s">
        <v>467</v>
      </c>
      <c r="N52" s="1" t="s">
        <v>466</v>
      </c>
      <c r="O52" s="1" t="s">
        <v>757</v>
      </c>
      <c r="P52" s="1"/>
      <c r="Q52" s="1" t="s">
        <v>758</v>
      </c>
      <c r="R52" s="1" t="s">
        <v>466</v>
      </c>
      <c r="S52" s="1" t="s">
        <v>277</v>
      </c>
      <c r="T52" s="1" t="s">
        <v>466</v>
      </c>
      <c r="U52" s="1" t="s">
        <v>466</v>
      </c>
      <c r="V52" s="1" t="s">
        <v>466</v>
      </c>
      <c r="W52" s="1" t="s">
        <v>466</v>
      </c>
      <c r="X52" s="1"/>
      <c r="Y52" s="1"/>
      <c r="Z52" s="1" t="s">
        <v>467</v>
      </c>
      <c r="AA52" s="1" t="s">
        <v>760</v>
      </c>
      <c r="AB52" s="1" t="s">
        <v>466</v>
      </c>
      <c r="AC52" s="1"/>
      <c r="AD52" s="1"/>
      <c r="AE52" s="1"/>
      <c r="AF52" s="1" t="s">
        <v>466</v>
      </c>
      <c r="AG52" s="1"/>
      <c r="AH52" s="1"/>
      <c r="AI52" s="1" t="s">
        <v>466</v>
      </c>
      <c r="AK52" s="1" t="s">
        <v>478</v>
      </c>
      <c r="AL52" s="1" t="s">
        <v>466</v>
      </c>
      <c r="AM52" t="s">
        <v>467</v>
      </c>
      <c r="AN52" s="1"/>
      <c r="AO52" s="1" t="s">
        <v>764</v>
      </c>
      <c r="AP52" s="1"/>
      <c r="AQ52" s="1" t="s">
        <v>466</v>
      </c>
      <c r="AR52" s="1" t="s">
        <v>466</v>
      </c>
      <c r="AS52" s="1" t="s">
        <v>466</v>
      </c>
      <c r="AT52" s="1"/>
      <c r="AU52" s="1"/>
      <c r="AV52" s="1"/>
      <c r="AW52" s="1" t="s">
        <v>1707</v>
      </c>
      <c r="AX52" s="1" t="s">
        <v>1704</v>
      </c>
      <c r="AY52" s="14">
        <v>46177</v>
      </c>
      <c r="AZ52" s="3" t="s">
        <v>740</v>
      </c>
    </row>
    <row r="53" spans="1:52" x14ac:dyDescent="0.3">
      <c r="A53" s="1" t="s">
        <v>741</v>
      </c>
      <c r="B53" s="1" t="s">
        <v>47</v>
      </c>
      <c r="C53" s="1" t="s">
        <v>93</v>
      </c>
      <c r="D53" s="3" t="s">
        <v>596</v>
      </c>
      <c r="E53" s="11" t="s">
        <v>321</v>
      </c>
      <c r="F53" s="1" t="s">
        <v>500</v>
      </c>
      <c r="G53" s="1" t="s">
        <v>1708</v>
      </c>
      <c r="H53" s="1" t="s">
        <v>765</v>
      </c>
      <c r="I53" s="1" t="s">
        <v>467</v>
      </c>
      <c r="J53" s="1" t="s">
        <v>466</v>
      </c>
      <c r="K53" s="1" t="s">
        <v>467</v>
      </c>
      <c r="L53" s="1" t="s">
        <v>755</v>
      </c>
      <c r="M53" s="1" t="s">
        <v>467</v>
      </c>
      <c r="N53" s="1" t="s">
        <v>466</v>
      </c>
      <c r="O53" s="1" t="s">
        <v>757</v>
      </c>
      <c r="P53" s="1"/>
      <c r="Q53" s="1" t="s">
        <v>758</v>
      </c>
      <c r="R53" s="1"/>
      <c r="S53" s="1" t="s">
        <v>1710</v>
      </c>
      <c r="T53" s="1" t="s">
        <v>466</v>
      </c>
      <c r="U53" s="1" t="s">
        <v>466</v>
      </c>
      <c r="V53" s="1"/>
      <c r="W53" s="1"/>
      <c r="X53" s="1"/>
      <c r="Y53" s="1"/>
      <c r="Z53" s="1" t="s">
        <v>467</v>
      </c>
      <c r="AA53" s="1" t="s">
        <v>760</v>
      </c>
      <c r="AB53" s="1" t="s">
        <v>466</v>
      </c>
      <c r="AC53" s="1" t="s">
        <v>466</v>
      </c>
      <c r="AD53" s="1"/>
      <c r="AE53" s="1" t="s">
        <v>466</v>
      </c>
      <c r="AF53" s="1" t="s">
        <v>466</v>
      </c>
      <c r="AG53" s="1" t="s">
        <v>466</v>
      </c>
      <c r="AH53" s="1" t="s">
        <v>466</v>
      </c>
      <c r="AI53" s="1"/>
      <c r="AK53" s="1" t="s">
        <v>477</v>
      </c>
      <c r="AL53" s="1" t="s">
        <v>466</v>
      </c>
      <c r="AM53" t="s">
        <v>467</v>
      </c>
      <c r="AN53" s="1"/>
      <c r="AO53" s="1" t="s">
        <v>764</v>
      </c>
      <c r="AP53" s="1"/>
      <c r="AQ53" s="1" t="s">
        <v>466</v>
      </c>
      <c r="AR53" s="1" t="s">
        <v>466</v>
      </c>
      <c r="AS53" s="1" t="s">
        <v>466</v>
      </c>
      <c r="AT53" s="1" t="s">
        <v>466</v>
      </c>
      <c r="AU53" s="1"/>
      <c r="AV53" s="1"/>
      <c r="AW53" s="3" t="s">
        <v>1711</v>
      </c>
      <c r="AX53" s="1" t="s">
        <v>1709</v>
      </c>
      <c r="AY53" s="14">
        <v>46178</v>
      </c>
      <c r="AZ53" s="3" t="s">
        <v>740</v>
      </c>
    </row>
    <row r="54" spans="1:52" x14ac:dyDescent="0.3">
      <c r="A54" s="1" t="s">
        <v>741</v>
      </c>
      <c r="B54" s="1" t="s">
        <v>48</v>
      </c>
      <c r="C54" s="1" t="s">
        <v>123</v>
      </c>
      <c r="D54" s="3" t="s">
        <v>595</v>
      </c>
      <c r="E54" s="11" t="s">
        <v>322</v>
      </c>
      <c r="F54" s="1" t="s">
        <v>500</v>
      </c>
      <c r="G54" s="1" t="s">
        <v>1712</v>
      </c>
      <c r="H54" s="1" t="s">
        <v>765</v>
      </c>
      <c r="I54" s="1" t="s">
        <v>467</v>
      </c>
      <c r="J54" s="1" t="s">
        <v>466</v>
      </c>
      <c r="K54" s="1" t="s">
        <v>467</v>
      </c>
      <c r="L54" s="1" t="s">
        <v>755</v>
      </c>
      <c r="M54" s="1" t="s">
        <v>467</v>
      </c>
      <c r="N54" s="1" t="s">
        <v>466</v>
      </c>
      <c r="O54" s="1" t="s">
        <v>757</v>
      </c>
      <c r="P54" s="1"/>
      <c r="Q54" s="1" t="s">
        <v>758</v>
      </c>
      <c r="R54" s="1" t="s">
        <v>466</v>
      </c>
      <c r="S54" s="1" t="s">
        <v>277</v>
      </c>
      <c r="T54" s="1" t="s">
        <v>466</v>
      </c>
      <c r="U54" s="1" t="s">
        <v>466</v>
      </c>
      <c r="V54" s="1" t="s">
        <v>466</v>
      </c>
      <c r="W54" s="1"/>
      <c r="X54" s="1"/>
      <c r="Y54" s="1"/>
      <c r="Z54" s="1" t="s">
        <v>467</v>
      </c>
      <c r="AA54" s="1" t="s">
        <v>760</v>
      </c>
      <c r="AB54" s="1" t="s">
        <v>466</v>
      </c>
      <c r="AC54" s="1" t="s">
        <v>466</v>
      </c>
      <c r="AD54" s="1"/>
      <c r="AE54" s="1"/>
      <c r="AF54" s="1" t="s">
        <v>466</v>
      </c>
      <c r="AG54" s="1" t="s">
        <v>466</v>
      </c>
      <c r="AH54" s="1" t="s">
        <v>466</v>
      </c>
      <c r="AI54" s="1"/>
      <c r="AK54" s="1" t="s">
        <v>478</v>
      </c>
      <c r="AL54" s="1" t="s">
        <v>466</v>
      </c>
      <c r="AM54" t="s">
        <v>467</v>
      </c>
      <c r="AN54" s="1" t="s">
        <v>466</v>
      </c>
      <c r="AO54" s="1" t="s">
        <v>764</v>
      </c>
      <c r="AP54" s="1"/>
      <c r="AQ54" s="1" t="s">
        <v>466</v>
      </c>
      <c r="AR54" s="1"/>
      <c r="AS54" s="1"/>
      <c r="AT54" s="1" t="s">
        <v>466</v>
      </c>
      <c r="AU54" s="1"/>
      <c r="AV54" s="1" t="s">
        <v>762</v>
      </c>
      <c r="AW54" s="1" t="s">
        <v>1703</v>
      </c>
      <c r="AX54" s="1" t="s">
        <v>1714</v>
      </c>
      <c r="AY54" s="14">
        <v>46178</v>
      </c>
      <c r="AZ54" s="3" t="s">
        <v>740</v>
      </c>
    </row>
    <row r="55" spans="1:52" x14ac:dyDescent="0.3">
      <c r="A55" s="1" t="s">
        <v>741</v>
      </c>
      <c r="B55" s="1" t="s">
        <v>49</v>
      </c>
      <c r="C55" s="1" t="s">
        <v>124</v>
      </c>
      <c r="D55" s="3" t="s">
        <v>594</v>
      </c>
      <c r="E55" s="11" t="s">
        <v>323</v>
      </c>
      <c r="F55" s="1" t="s">
        <v>500</v>
      </c>
      <c r="G55" s="1" t="s">
        <v>646</v>
      </c>
      <c r="H55" s="1" t="s">
        <v>765</v>
      </c>
      <c r="I55" s="1" t="s">
        <v>467</v>
      </c>
      <c r="J55" s="1" t="s">
        <v>466</v>
      </c>
      <c r="K55" s="1" t="s">
        <v>467</v>
      </c>
      <c r="L55" s="1" t="s">
        <v>755</v>
      </c>
      <c r="M55" s="1" t="s">
        <v>467</v>
      </c>
      <c r="N55" s="1" t="s">
        <v>466</v>
      </c>
      <c r="O55" s="1"/>
      <c r="P55" s="1"/>
      <c r="Q55" s="1" t="s">
        <v>758</v>
      </c>
      <c r="R55" s="1"/>
      <c r="S55" s="1" t="s">
        <v>1716</v>
      </c>
      <c r="T55" s="1" t="s">
        <v>466</v>
      </c>
      <c r="U55" s="1" t="s">
        <v>466</v>
      </c>
      <c r="V55" s="1"/>
      <c r="W55" s="1"/>
      <c r="X55" s="1" t="s">
        <v>466</v>
      </c>
      <c r="Y55" s="1"/>
      <c r="Z55" s="1" t="s">
        <v>467</v>
      </c>
      <c r="AA55" s="1" t="s">
        <v>759</v>
      </c>
      <c r="AB55" s="1" t="s">
        <v>466</v>
      </c>
      <c r="AC55" s="1" t="s">
        <v>466</v>
      </c>
      <c r="AD55" s="1"/>
      <c r="AE55" s="1"/>
      <c r="AF55" s="1" t="s">
        <v>466</v>
      </c>
      <c r="AG55" s="1"/>
      <c r="AH55" s="1"/>
      <c r="AI55" s="1"/>
      <c r="AK55" s="1" t="s">
        <v>477</v>
      </c>
      <c r="AL55" s="1" t="s">
        <v>466</v>
      </c>
      <c r="AM55" t="s">
        <v>467</v>
      </c>
      <c r="AN55" s="1" t="s">
        <v>466</v>
      </c>
      <c r="AO55" s="1" t="s">
        <v>764</v>
      </c>
      <c r="AP55" s="1"/>
      <c r="AQ55" s="1" t="s">
        <v>466</v>
      </c>
      <c r="AR55" s="1" t="s">
        <v>466</v>
      </c>
      <c r="AS55" s="1"/>
      <c r="AT55" s="1" t="s">
        <v>466</v>
      </c>
      <c r="AU55" s="1"/>
      <c r="AV55" s="1"/>
      <c r="AW55" s="1" t="s">
        <v>1718</v>
      </c>
      <c r="AX55" s="1" t="s">
        <v>1719</v>
      </c>
      <c r="AY55" s="14">
        <v>46178</v>
      </c>
      <c r="AZ55" s="3" t="s">
        <v>740</v>
      </c>
    </row>
    <row r="56" spans="1:52" x14ac:dyDescent="0.3">
      <c r="A56" s="1" t="s">
        <v>741</v>
      </c>
      <c r="B56" s="1" t="s">
        <v>50</v>
      </c>
      <c r="C56" s="1" t="s">
        <v>125</v>
      </c>
      <c r="D56" s="3" t="s">
        <v>594</v>
      </c>
      <c r="E56" s="11" t="s">
        <v>324</v>
      </c>
      <c r="F56" s="1" t="s">
        <v>500</v>
      </c>
      <c r="G56" s="1" t="s">
        <v>1720</v>
      </c>
      <c r="H56" s="1" t="s">
        <v>765</v>
      </c>
      <c r="I56" s="1" t="s">
        <v>467</v>
      </c>
      <c r="J56" s="1" t="s">
        <v>466</v>
      </c>
      <c r="K56" s="1" t="s">
        <v>467</v>
      </c>
      <c r="L56" s="1" t="s">
        <v>755</v>
      </c>
      <c r="M56" s="1" t="s">
        <v>467</v>
      </c>
      <c r="N56" s="1" t="s">
        <v>466</v>
      </c>
      <c r="O56" s="1"/>
      <c r="P56" s="1"/>
      <c r="Q56" s="1" t="s">
        <v>758</v>
      </c>
      <c r="R56" s="1"/>
      <c r="S56" s="1" t="s">
        <v>277</v>
      </c>
      <c r="T56" s="1" t="s">
        <v>466</v>
      </c>
      <c r="U56" s="1" t="s">
        <v>466</v>
      </c>
      <c r="V56" s="1" t="s">
        <v>466</v>
      </c>
      <c r="W56" s="1" t="s">
        <v>466</v>
      </c>
      <c r="X56" s="1"/>
      <c r="Y56" s="1"/>
      <c r="Z56" s="1" t="s">
        <v>467</v>
      </c>
      <c r="AA56" s="1" t="s">
        <v>760</v>
      </c>
      <c r="AB56" s="1" t="s">
        <v>466</v>
      </c>
      <c r="AC56" s="1" t="s">
        <v>466</v>
      </c>
      <c r="AD56" s="1"/>
      <c r="AE56" s="1"/>
      <c r="AF56" s="1" t="s">
        <v>466</v>
      </c>
      <c r="AG56" s="1" t="s">
        <v>466</v>
      </c>
      <c r="AH56" s="1"/>
      <c r="AI56" s="1"/>
      <c r="AK56" s="1" t="s">
        <v>478</v>
      </c>
      <c r="AL56" s="1" t="s">
        <v>466</v>
      </c>
      <c r="AM56" t="s">
        <v>467</v>
      </c>
      <c r="AN56" s="1" t="s">
        <v>466</v>
      </c>
      <c r="AO56" s="1" t="s">
        <v>764</v>
      </c>
      <c r="AP56" s="1"/>
      <c r="AQ56" s="1" t="s">
        <v>466</v>
      </c>
      <c r="AR56" s="1" t="s">
        <v>466</v>
      </c>
      <c r="AS56" s="1"/>
      <c r="AT56" s="1"/>
      <c r="AU56" s="1" t="s">
        <v>466</v>
      </c>
      <c r="AV56" s="1"/>
      <c r="AW56" s="1" t="s">
        <v>1721</v>
      </c>
      <c r="AX56" s="1" t="s">
        <v>1722</v>
      </c>
      <c r="AY56" s="14">
        <v>46178</v>
      </c>
      <c r="AZ56" s="3" t="s">
        <v>740</v>
      </c>
    </row>
    <row r="57" spans="1:52" x14ac:dyDescent="0.3">
      <c r="A57" s="1" t="s">
        <v>741</v>
      </c>
      <c r="B57" s="1" t="s">
        <v>51</v>
      </c>
      <c r="C57" s="1" t="s">
        <v>126</v>
      </c>
      <c r="D57" s="3" t="s">
        <v>593</v>
      </c>
      <c r="E57" s="11" t="s">
        <v>325</v>
      </c>
      <c r="F57" s="3" t="s">
        <v>505</v>
      </c>
      <c r="G57" s="1" t="s">
        <v>1723</v>
      </c>
      <c r="H57" s="1" t="s">
        <v>765</v>
      </c>
      <c r="I57" s="1" t="s">
        <v>467</v>
      </c>
      <c r="J57" s="1" t="s">
        <v>466</v>
      </c>
      <c r="K57" s="1" t="s">
        <v>467</v>
      </c>
      <c r="L57" s="1" t="s">
        <v>755</v>
      </c>
      <c r="M57" s="1" t="s">
        <v>467</v>
      </c>
      <c r="N57" s="1" t="s">
        <v>466</v>
      </c>
      <c r="O57" s="1"/>
      <c r="P57" s="1"/>
      <c r="Q57" s="1" t="s">
        <v>758</v>
      </c>
      <c r="R57" s="1" t="s">
        <v>466</v>
      </c>
      <c r="S57" s="1" t="s">
        <v>277</v>
      </c>
      <c r="T57" s="1" t="s">
        <v>466</v>
      </c>
      <c r="U57" s="1" t="s">
        <v>466</v>
      </c>
      <c r="V57" s="1" t="s">
        <v>466</v>
      </c>
      <c r="W57" s="1" t="s">
        <v>466</v>
      </c>
      <c r="X57" s="1"/>
      <c r="Y57" s="1" t="s">
        <v>466</v>
      </c>
      <c r="Z57" s="1" t="s">
        <v>467</v>
      </c>
      <c r="AB57" s="1" t="s">
        <v>466</v>
      </c>
      <c r="AC57" s="1" t="s">
        <v>466</v>
      </c>
      <c r="AD57" s="1"/>
      <c r="AE57" s="1"/>
      <c r="AF57" s="1" t="s">
        <v>466</v>
      </c>
      <c r="AG57" s="1"/>
      <c r="AH57" s="1"/>
      <c r="AI57" s="1" t="s">
        <v>466</v>
      </c>
      <c r="AL57" s="1" t="s">
        <v>466</v>
      </c>
      <c r="AM57" t="s">
        <v>467</v>
      </c>
      <c r="AN57" s="1" t="s">
        <v>466</v>
      </c>
      <c r="AO57" s="1" t="s">
        <v>764</v>
      </c>
      <c r="AP57" s="1"/>
      <c r="AQ57" s="1" t="s">
        <v>466</v>
      </c>
      <c r="AR57" s="1" t="s">
        <v>466</v>
      </c>
      <c r="AS57" s="1"/>
      <c r="AT57" s="1"/>
      <c r="AU57" s="1"/>
      <c r="AV57" s="1"/>
      <c r="AW57" s="1" t="s">
        <v>1724</v>
      </c>
      <c r="AX57" s="1" t="s">
        <v>1725</v>
      </c>
      <c r="AY57" s="14">
        <v>46178</v>
      </c>
      <c r="AZ57" s="3" t="s">
        <v>740</v>
      </c>
    </row>
    <row r="58" spans="1:52" x14ac:dyDescent="0.3">
      <c r="A58" s="1" t="s">
        <v>741</v>
      </c>
      <c r="B58" s="1" t="s">
        <v>52</v>
      </c>
      <c r="C58" s="1" t="s">
        <v>127</v>
      </c>
      <c r="D58" s="3" t="s">
        <v>592</v>
      </c>
      <c r="E58" s="11" t="s">
        <v>326</v>
      </c>
      <c r="F58" s="1" t="s">
        <v>1743</v>
      </c>
      <c r="G58" s="1" t="s">
        <v>1741</v>
      </c>
      <c r="H58" s="1" t="s">
        <v>765</v>
      </c>
      <c r="I58" s="1" t="s">
        <v>467</v>
      </c>
      <c r="J58" s="1" t="s">
        <v>466</v>
      </c>
      <c r="K58" s="1" t="s">
        <v>466</v>
      </c>
      <c r="L58" s="1" t="s">
        <v>755</v>
      </c>
      <c r="M58" s="1" t="s">
        <v>467</v>
      </c>
      <c r="N58" s="1" t="s">
        <v>466</v>
      </c>
      <c r="O58" s="1"/>
      <c r="P58" s="1"/>
      <c r="Q58" s="1" t="s">
        <v>758</v>
      </c>
      <c r="R58" s="1" t="s">
        <v>466</v>
      </c>
      <c r="S58" s="1" t="s">
        <v>1742</v>
      </c>
      <c r="T58" s="1" t="s">
        <v>466</v>
      </c>
      <c r="U58" s="1"/>
      <c r="V58" s="1" t="s">
        <v>466</v>
      </c>
      <c r="W58" s="1"/>
      <c r="X58" s="1"/>
      <c r="Y58" s="1"/>
      <c r="Z58" s="1" t="s">
        <v>467</v>
      </c>
      <c r="AB58" s="1" t="s">
        <v>466</v>
      </c>
      <c r="AC58" s="1" t="s">
        <v>466</v>
      </c>
      <c r="AD58" s="1"/>
      <c r="AE58" s="1"/>
      <c r="AF58" s="1" t="s">
        <v>466</v>
      </c>
      <c r="AG58" s="1" t="s">
        <v>466</v>
      </c>
      <c r="AH58" s="1"/>
      <c r="AI58" s="1"/>
      <c r="AK58" s="1" t="s">
        <v>479</v>
      </c>
      <c r="AL58" s="1" t="s">
        <v>466</v>
      </c>
      <c r="AM58" t="s">
        <v>467</v>
      </c>
      <c r="AN58" s="1" t="s">
        <v>466</v>
      </c>
      <c r="AO58" s="1" t="s">
        <v>764</v>
      </c>
      <c r="AP58" s="1"/>
      <c r="AQ58" s="1" t="s">
        <v>466</v>
      </c>
      <c r="AR58" s="1" t="s">
        <v>466</v>
      </c>
      <c r="AS58" s="1" t="s">
        <v>466</v>
      </c>
      <c r="AT58" s="1" t="s">
        <v>466</v>
      </c>
      <c r="AU58" s="1" t="s">
        <v>466</v>
      </c>
      <c r="AV58" s="1" t="s">
        <v>762</v>
      </c>
      <c r="AW58" s="1" t="s">
        <v>1745</v>
      </c>
      <c r="AX58" s="1" t="s">
        <v>1744</v>
      </c>
      <c r="AY58" s="14">
        <v>46178</v>
      </c>
      <c r="AZ58" s="3" t="s">
        <v>740</v>
      </c>
    </row>
    <row r="59" spans="1:52" x14ac:dyDescent="0.3">
      <c r="A59" s="1" t="s">
        <v>741</v>
      </c>
      <c r="B59" s="1" t="s">
        <v>53</v>
      </c>
      <c r="C59" s="1" t="s">
        <v>128</v>
      </c>
      <c r="D59" s="3" t="s">
        <v>591</v>
      </c>
      <c r="E59" s="11" t="s">
        <v>327</v>
      </c>
      <c r="F59" s="1" t="s">
        <v>1769</v>
      </c>
      <c r="G59" s="1" t="s">
        <v>1768</v>
      </c>
      <c r="H59" s="1" t="s">
        <v>765</v>
      </c>
      <c r="I59" s="1" t="s">
        <v>467</v>
      </c>
      <c r="J59" s="1" t="s">
        <v>466</v>
      </c>
      <c r="K59" s="1" t="s">
        <v>466</v>
      </c>
      <c r="L59" s="1" t="s">
        <v>755</v>
      </c>
      <c r="M59" s="1" t="s">
        <v>466</v>
      </c>
      <c r="N59" s="1" t="s">
        <v>466</v>
      </c>
      <c r="O59" s="1"/>
      <c r="P59" s="1" t="s">
        <v>466</v>
      </c>
      <c r="Q59" s="1" t="s">
        <v>758</v>
      </c>
      <c r="R59" s="1" t="s">
        <v>466</v>
      </c>
      <c r="S59" s="1" t="s">
        <v>1770</v>
      </c>
      <c r="T59" s="1" t="s">
        <v>466</v>
      </c>
      <c r="U59" s="1" t="s">
        <v>466</v>
      </c>
      <c r="V59" s="1" t="s">
        <v>466</v>
      </c>
      <c r="W59" s="1"/>
      <c r="X59" s="1"/>
      <c r="Y59" s="1" t="s">
        <v>467</v>
      </c>
      <c r="Z59" s="1" t="s">
        <v>467</v>
      </c>
      <c r="AA59" s="1" t="s">
        <v>760</v>
      </c>
      <c r="AB59" s="1" t="s">
        <v>466</v>
      </c>
      <c r="AC59" s="1" t="s">
        <v>466</v>
      </c>
      <c r="AD59" s="1" t="s">
        <v>466</v>
      </c>
      <c r="AE59" s="1" t="s">
        <v>466</v>
      </c>
      <c r="AF59" s="1" t="s">
        <v>466</v>
      </c>
      <c r="AG59" s="1"/>
      <c r="AH59" s="1"/>
      <c r="AI59" s="1" t="s">
        <v>466</v>
      </c>
      <c r="AK59" s="1" t="s">
        <v>478</v>
      </c>
      <c r="AL59" s="1" t="s">
        <v>466</v>
      </c>
      <c r="AM59" t="s">
        <v>467</v>
      </c>
      <c r="AN59" s="1" t="s">
        <v>466</v>
      </c>
      <c r="AO59" s="1" t="s">
        <v>764</v>
      </c>
      <c r="AP59" s="1"/>
      <c r="AQ59" s="1" t="s">
        <v>466</v>
      </c>
      <c r="AR59" s="1" t="s">
        <v>466</v>
      </c>
      <c r="AS59" s="1"/>
      <c r="AT59" s="1"/>
      <c r="AU59" s="1"/>
      <c r="AV59" s="1"/>
      <c r="AW59" s="1" t="s">
        <v>1771</v>
      </c>
      <c r="AX59" s="1" t="s">
        <v>1772</v>
      </c>
      <c r="AY59" s="14">
        <v>46199</v>
      </c>
      <c r="AZ59" s="3" t="s">
        <v>740</v>
      </c>
    </row>
    <row r="60" spans="1:52" x14ac:dyDescent="0.3">
      <c r="A60" s="1" t="s">
        <v>741</v>
      </c>
      <c r="B60" s="1" t="s">
        <v>54</v>
      </c>
      <c r="C60" s="1" t="s">
        <v>129</v>
      </c>
      <c r="D60" s="3" t="s">
        <v>590</v>
      </c>
      <c r="E60" s="11" t="s">
        <v>328</v>
      </c>
      <c r="F60" s="1" t="s">
        <v>1777</v>
      </c>
      <c r="G60" s="1" t="s">
        <v>1773</v>
      </c>
      <c r="H60" s="1" t="s">
        <v>765</v>
      </c>
      <c r="I60" s="1" t="s">
        <v>467</v>
      </c>
      <c r="J60" s="1" t="s">
        <v>466</v>
      </c>
      <c r="K60" s="1" t="s">
        <v>466</v>
      </c>
      <c r="L60" s="1" t="s">
        <v>755</v>
      </c>
      <c r="M60" s="1" t="s">
        <v>467</v>
      </c>
      <c r="N60" s="1" t="s">
        <v>466</v>
      </c>
      <c r="O60" s="1"/>
      <c r="P60" s="1" t="s">
        <v>466</v>
      </c>
      <c r="Q60" s="1" t="s">
        <v>758</v>
      </c>
      <c r="R60" s="1"/>
      <c r="S60" s="1" t="s">
        <v>1775</v>
      </c>
      <c r="T60" s="1" t="s">
        <v>466</v>
      </c>
      <c r="U60" s="1"/>
      <c r="V60" s="1"/>
      <c r="W60" s="1"/>
      <c r="X60" s="1"/>
      <c r="Y60" s="1"/>
      <c r="Z60" s="1" t="s">
        <v>467</v>
      </c>
      <c r="AA60" s="1" t="s">
        <v>760</v>
      </c>
      <c r="AB60" s="1" t="s">
        <v>466</v>
      </c>
      <c r="AC60" s="1"/>
      <c r="AD60" s="1"/>
      <c r="AE60" s="1"/>
      <c r="AF60" s="1"/>
      <c r="AG60" s="1"/>
      <c r="AH60" s="1"/>
      <c r="AI60" s="1" t="s">
        <v>466</v>
      </c>
      <c r="AK60" s="1" t="s">
        <v>479</v>
      </c>
      <c r="AL60" s="1" t="s">
        <v>466</v>
      </c>
      <c r="AM60" s="1" t="s">
        <v>467</v>
      </c>
      <c r="AN60" s="1"/>
      <c r="AO60" s="1" t="s">
        <v>764</v>
      </c>
      <c r="AP60" s="1"/>
      <c r="AQ60" s="1" t="s">
        <v>466</v>
      </c>
      <c r="AR60" s="1" t="s">
        <v>466</v>
      </c>
      <c r="AS60" s="1"/>
      <c r="AT60" s="1"/>
      <c r="AU60" s="1"/>
      <c r="AV60" s="1"/>
      <c r="AW60" s="1" t="s">
        <v>1776</v>
      </c>
      <c r="AX60" s="1" t="s">
        <v>1774</v>
      </c>
      <c r="AY60" s="14">
        <v>46202</v>
      </c>
      <c r="AZ60" s="1" t="s">
        <v>740</v>
      </c>
    </row>
    <row r="61" spans="1:52" x14ac:dyDescent="0.3">
      <c r="A61" s="1" t="s">
        <v>741</v>
      </c>
      <c r="B61" s="1" t="s">
        <v>55</v>
      </c>
      <c r="C61" s="1" t="s">
        <v>130</v>
      </c>
      <c r="D61" s="3" t="s">
        <v>589</v>
      </c>
      <c r="E61" s="11" t="s">
        <v>329</v>
      </c>
      <c r="F61" s="1" t="s">
        <v>500</v>
      </c>
      <c r="G61" s="1" t="s">
        <v>1778</v>
      </c>
      <c r="H61" s="1" t="s">
        <v>765</v>
      </c>
      <c r="I61" s="1" t="s">
        <v>467</v>
      </c>
      <c r="J61" s="1" t="s">
        <v>466</v>
      </c>
      <c r="K61" s="1" t="s">
        <v>466</v>
      </c>
      <c r="L61" s="1"/>
      <c r="M61" s="1" t="s">
        <v>467</v>
      </c>
      <c r="N61" s="1" t="s">
        <v>466</v>
      </c>
      <c r="O61" s="1"/>
      <c r="P61" s="1"/>
      <c r="Q61" s="1" t="s">
        <v>758</v>
      </c>
      <c r="R61" s="1"/>
      <c r="S61" s="1" t="s">
        <v>1779</v>
      </c>
      <c r="T61" s="1" t="s">
        <v>466</v>
      </c>
      <c r="U61" s="1" t="s">
        <v>466</v>
      </c>
      <c r="V61" s="1"/>
      <c r="W61" s="1"/>
      <c r="X61" s="1"/>
      <c r="Y61" s="1"/>
      <c r="Z61" s="1" t="s">
        <v>467</v>
      </c>
      <c r="AA61" s="1" t="s">
        <v>760</v>
      </c>
      <c r="AB61" s="1" t="s">
        <v>466</v>
      </c>
      <c r="AC61" s="1"/>
      <c r="AD61" s="1"/>
      <c r="AE61" s="1"/>
      <c r="AF61" s="1" t="s">
        <v>466</v>
      </c>
      <c r="AG61" s="1"/>
      <c r="AH61" s="1"/>
      <c r="AI61" s="1" t="s">
        <v>466</v>
      </c>
      <c r="AK61" s="1" t="s">
        <v>479</v>
      </c>
      <c r="AL61" s="1" t="s">
        <v>466</v>
      </c>
      <c r="AM61" s="1" t="s">
        <v>467</v>
      </c>
      <c r="AN61" s="1"/>
      <c r="AO61" s="1" t="s">
        <v>764</v>
      </c>
      <c r="AP61" s="1"/>
      <c r="AQ61" s="1" t="s">
        <v>466</v>
      </c>
      <c r="AR61" s="1" t="s">
        <v>466</v>
      </c>
      <c r="AS61" s="1"/>
      <c r="AT61" s="1"/>
      <c r="AU61" s="1"/>
      <c r="AV61" s="1"/>
      <c r="AW61" s="1" t="s">
        <v>1781</v>
      </c>
      <c r="AX61" s="1" t="s">
        <v>1780</v>
      </c>
      <c r="AY61" s="14">
        <v>46202</v>
      </c>
      <c r="AZ61" s="1" t="s">
        <v>740</v>
      </c>
    </row>
    <row r="62" spans="1:52" x14ac:dyDescent="0.3">
      <c r="A62" s="1" t="s">
        <v>742</v>
      </c>
      <c r="B62" s="1" t="s">
        <v>56</v>
      </c>
      <c r="C62" s="1" t="s">
        <v>131</v>
      </c>
      <c r="D62" s="1" t="s">
        <v>131</v>
      </c>
      <c r="E62" s="11" t="s">
        <v>330</v>
      </c>
      <c r="H62" s="1" t="s">
        <v>765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742</v>
      </c>
      <c r="B63" s="1" t="s">
        <v>57</v>
      </c>
      <c r="C63" s="1" t="s">
        <v>132</v>
      </c>
      <c r="D63" s="3" t="s">
        <v>588</v>
      </c>
      <c r="E63" s="11" t="s">
        <v>331</v>
      </c>
      <c r="H63" s="1" t="s">
        <v>765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741</v>
      </c>
      <c r="B64" s="1" t="s">
        <v>58</v>
      </c>
      <c r="C64" s="1" t="s">
        <v>133</v>
      </c>
      <c r="D64" s="3" t="s">
        <v>587</v>
      </c>
      <c r="E64" s="3" t="s">
        <v>332</v>
      </c>
      <c r="F64" s="1" t="s">
        <v>1782</v>
      </c>
      <c r="G64" s="1" t="s">
        <v>1783</v>
      </c>
      <c r="H64" s="1" t="s">
        <v>765</v>
      </c>
      <c r="I64" s="1" t="s">
        <v>467</v>
      </c>
      <c r="J64" s="1" t="s">
        <v>466</v>
      </c>
      <c r="K64" s="1" t="s">
        <v>466</v>
      </c>
      <c r="L64" s="1" t="s">
        <v>755</v>
      </c>
      <c r="M64" s="1" t="s">
        <v>467</v>
      </c>
      <c r="N64" s="1" t="s">
        <v>466</v>
      </c>
      <c r="O64" s="1"/>
      <c r="P64" s="1"/>
      <c r="Q64" s="1" t="s">
        <v>758</v>
      </c>
      <c r="R64" s="1" t="s">
        <v>467</v>
      </c>
      <c r="S64" s="1" t="s">
        <v>1784</v>
      </c>
      <c r="T64" s="1"/>
      <c r="U64" s="1" t="s">
        <v>466</v>
      </c>
      <c r="V64" s="1"/>
      <c r="W64" s="1"/>
      <c r="X64" s="1"/>
      <c r="Y64" s="1"/>
      <c r="Z64" s="1" t="s">
        <v>467</v>
      </c>
      <c r="AB64" s="1" t="s">
        <v>466</v>
      </c>
      <c r="AC64" s="1"/>
      <c r="AD64" s="1"/>
      <c r="AE64" s="1"/>
      <c r="AF64" s="1"/>
      <c r="AG64" s="1"/>
      <c r="AH64" s="1"/>
      <c r="AI64" s="1" t="s">
        <v>466</v>
      </c>
      <c r="AK64" s="1" t="s">
        <v>479</v>
      </c>
      <c r="AL64" s="1"/>
      <c r="AM64" t="s">
        <v>467</v>
      </c>
      <c r="AN64" s="1"/>
      <c r="AO64" s="1"/>
      <c r="AP64" s="1"/>
      <c r="AQ64" s="1" t="s">
        <v>466</v>
      </c>
      <c r="AR64" s="1" t="s">
        <v>466</v>
      </c>
      <c r="AS64" s="1"/>
      <c r="AT64" s="1"/>
      <c r="AU64" s="1"/>
      <c r="AV64" s="1"/>
      <c r="AW64" s="1" t="s">
        <v>1785</v>
      </c>
      <c r="AX64" s="1" t="s">
        <v>1786</v>
      </c>
      <c r="AY64" s="14">
        <v>46203</v>
      </c>
      <c r="AZ64" s="1" t="s">
        <v>740</v>
      </c>
    </row>
    <row r="65" spans="1:48" x14ac:dyDescent="0.3">
      <c r="A65" s="1" t="s">
        <v>742</v>
      </c>
      <c r="B65" s="1" t="s">
        <v>59</v>
      </c>
      <c r="C65" s="1" t="s">
        <v>134</v>
      </c>
      <c r="E65" s="3" t="s">
        <v>333</v>
      </c>
      <c r="H65" s="1" t="s">
        <v>765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742</v>
      </c>
      <c r="B66" s="1" t="s">
        <v>60</v>
      </c>
      <c r="C66" s="1" t="s">
        <v>135</v>
      </c>
      <c r="D66" s="3" t="s">
        <v>586</v>
      </c>
      <c r="E66" s="3" t="s">
        <v>334</v>
      </c>
      <c r="H66" s="1" t="s">
        <v>765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742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765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742</v>
      </c>
      <c r="B68" s="1" t="s">
        <v>62</v>
      </c>
      <c r="C68" s="1" t="s">
        <v>137</v>
      </c>
      <c r="D68" s="3" t="s">
        <v>585</v>
      </c>
      <c r="E68" s="3" t="s">
        <v>336</v>
      </c>
      <c r="H68" s="1" t="s">
        <v>765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742</v>
      </c>
      <c r="B69" s="1" t="s">
        <v>63</v>
      </c>
      <c r="C69" s="1" t="s">
        <v>138</v>
      </c>
      <c r="D69" s="3" t="s">
        <v>584</v>
      </c>
      <c r="E69" s="3" t="s">
        <v>337</v>
      </c>
      <c r="H69" s="1" t="s">
        <v>765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742</v>
      </c>
      <c r="B70" s="1" t="s">
        <v>64</v>
      </c>
      <c r="C70" s="1" t="s">
        <v>139</v>
      </c>
      <c r="E70" s="3" t="s">
        <v>338</v>
      </c>
      <c r="H70" s="1" t="s">
        <v>765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742</v>
      </c>
      <c r="B71" s="1" t="s">
        <v>65</v>
      </c>
      <c r="C71" s="1" t="s">
        <v>140</v>
      </c>
      <c r="E71" s="3" t="s">
        <v>339</v>
      </c>
      <c r="H71" s="1" t="s">
        <v>765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742</v>
      </c>
      <c r="B72" s="1" t="s">
        <v>66</v>
      </c>
      <c r="C72" s="1" t="s">
        <v>141</v>
      </c>
      <c r="D72" s="3" t="s">
        <v>583</v>
      </c>
      <c r="E72" s="3" t="s">
        <v>340</v>
      </c>
      <c r="H72" s="1" t="s">
        <v>765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742</v>
      </c>
      <c r="B73" s="1" t="s">
        <v>67</v>
      </c>
      <c r="C73" s="1" t="s">
        <v>142</v>
      </c>
      <c r="E73" s="3" t="s">
        <v>341</v>
      </c>
      <c r="H73" s="1" t="s">
        <v>765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742</v>
      </c>
      <c r="B74" s="1" t="s">
        <v>68</v>
      </c>
      <c r="C74" s="1" t="s">
        <v>143</v>
      </c>
      <c r="D74" s="3" t="s">
        <v>582</v>
      </c>
      <c r="E74" s="11" t="s">
        <v>342</v>
      </c>
      <c r="H74" s="1" t="s">
        <v>765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742</v>
      </c>
      <c r="B75" s="1" t="s">
        <v>69</v>
      </c>
      <c r="C75" s="1" t="s">
        <v>144</v>
      </c>
      <c r="D75" s="3" t="s">
        <v>581</v>
      </c>
      <c r="E75" s="3" t="s">
        <v>343</v>
      </c>
      <c r="H75" s="1" t="s">
        <v>765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742</v>
      </c>
      <c r="B76" s="1" t="s">
        <v>70</v>
      </c>
      <c r="C76" s="1" t="s">
        <v>145</v>
      </c>
      <c r="D76" s="3" t="s">
        <v>580</v>
      </c>
      <c r="E76" s="3" t="s">
        <v>344</v>
      </c>
      <c r="H76" s="1" t="s">
        <v>765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742</v>
      </c>
      <c r="B77" s="1" t="s">
        <v>71</v>
      </c>
      <c r="C77" s="1" t="s">
        <v>146</v>
      </c>
      <c r="D77" s="3" t="s">
        <v>579</v>
      </c>
      <c r="E77" s="3" t="s">
        <v>345</v>
      </c>
      <c r="H77" s="1" t="s">
        <v>765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742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765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742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765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742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765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742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765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742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765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742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765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742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765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742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765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742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765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742</v>
      </c>
      <c r="B87" s="1" t="s">
        <v>683</v>
      </c>
      <c r="C87" s="1" t="s">
        <v>156</v>
      </c>
      <c r="D87" s="3" t="s">
        <v>224</v>
      </c>
      <c r="E87" s="3" t="s">
        <v>354</v>
      </c>
      <c r="H87" s="1" t="s">
        <v>765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742</v>
      </c>
      <c r="B88" s="1" t="s">
        <v>684</v>
      </c>
      <c r="C88" s="1" t="s">
        <v>157</v>
      </c>
      <c r="D88" s="3" t="s">
        <v>225</v>
      </c>
      <c r="E88" s="3" t="s">
        <v>355</v>
      </c>
      <c r="H88" s="1" t="s">
        <v>765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742</v>
      </c>
      <c r="B89" s="1" t="s">
        <v>685</v>
      </c>
      <c r="C89" s="1" t="s">
        <v>158</v>
      </c>
      <c r="D89" s="3" t="s">
        <v>226</v>
      </c>
      <c r="E89" s="3" t="s">
        <v>356</v>
      </c>
      <c r="H89" s="1" t="s">
        <v>765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742</v>
      </c>
      <c r="B90" s="1" t="s">
        <v>686</v>
      </c>
      <c r="C90" s="1" t="s">
        <v>159</v>
      </c>
      <c r="D90" s="3" t="s">
        <v>227</v>
      </c>
      <c r="E90" s="3" t="s">
        <v>357</v>
      </c>
      <c r="H90" s="1" t="s">
        <v>765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742</v>
      </c>
      <c r="B91" s="1" t="s">
        <v>687</v>
      </c>
      <c r="C91" s="1" t="s">
        <v>160</v>
      </c>
      <c r="D91" s="3" t="s">
        <v>228</v>
      </c>
      <c r="E91" s="3" t="s">
        <v>358</v>
      </c>
      <c r="H91" s="1" t="s">
        <v>765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742</v>
      </c>
      <c r="B92" s="1" t="s">
        <v>688</v>
      </c>
      <c r="C92" s="1" t="s">
        <v>161</v>
      </c>
      <c r="D92" s="3" t="s">
        <v>229</v>
      </c>
      <c r="E92" s="3" t="s">
        <v>359</v>
      </c>
      <c r="H92" s="1" t="s">
        <v>765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742</v>
      </c>
      <c r="B93" s="1" t="s">
        <v>689</v>
      </c>
      <c r="C93" s="1" t="s">
        <v>162</v>
      </c>
      <c r="D93" s="3" t="s">
        <v>230</v>
      </c>
      <c r="E93" s="3" t="s">
        <v>360</v>
      </c>
      <c r="H93" s="1" t="s">
        <v>765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742</v>
      </c>
      <c r="B94" s="1" t="s">
        <v>690</v>
      </c>
      <c r="C94" s="1" t="s">
        <v>163</v>
      </c>
      <c r="D94" s="3" t="s">
        <v>231</v>
      </c>
      <c r="E94" s="3" t="s">
        <v>361</v>
      </c>
      <c r="H94" s="1" t="s">
        <v>765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742</v>
      </c>
      <c r="B95" s="1" t="s">
        <v>691</v>
      </c>
      <c r="C95" s="1" t="s">
        <v>164</v>
      </c>
      <c r="D95" s="3" t="s">
        <v>232</v>
      </c>
      <c r="E95" s="3" t="s">
        <v>362</v>
      </c>
      <c r="H95" s="1" t="s">
        <v>765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742</v>
      </c>
      <c r="B96" s="1" t="s">
        <v>692</v>
      </c>
      <c r="C96" s="1" t="s">
        <v>165</v>
      </c>
      <c r="D96" s="3" t="s">
        <v>233</v>
      </c>
      <c r="E96" s="3" t="s">
        <v>363</v>
      </c>
      <c r="H96" s="1" t="s">
        <v>765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742</v>
      </c>
      <c r="B97" s="1" t="s">
        <v>693</v>
      </c>
      <c r="C97" s="1" t="s">
        <v>166</v>
      </c>
      <c r="D97" s="3" t="s">
        <v>234</v>
      </c>
      <c r="E97" s="3" t="s">
        <v>364</v>
      </c>
      <c r="H97" s="1" t="s">
        <v>765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742</v>
      </c>
      <c r="B98" s="1" t="s">
        <v>694</v>
      </c>
      <c r="C98" s="1" t="s">
        <v>167</v>
      </c>
      <c r="E98" s="3" t="s">
        <v>365</v>
      </c>
      <c r="H98" s="1" t="s">
        <v>765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742</v>
      </c>
      <c r="B99" s="1" t="s">
        <v>695</v>
      </c>
      <c r="C99" s="1" t="s">
        <v>168</v>
      </c>
      <c r="D99" s="3" t="s">
        <v>235</v>
      </c>
      <c r="E99" s="3" t="s">
        <v>366</v>
      </c>
      <c r="H99" s="1" t="s">
        <v>765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742</v>
      </c>
      <c r="B100" s="1" t="s">
        <v>696</v>
      </c>
      <c r="C100" s="1" t="s">
        <v>169</v>
      </c>
      <c r="D100" s="3" t="s">
        <v>236</v>
      </c>
      <c r="E100" s="3" t="s">
        <v>367</v>
      </c>
      <c r="H100" s="1" t="s">
        <v>765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742</v>
      </c>
      <c r="B101" s="1" t="s">
        <v>697</v>
      </c>
      <c r="C101" s="1" t="s">
        <v>170</v>
      </c>
      <c r="E101" s="3" t="s">
        <v>368</v>
      </c>
      <c r="H101" s="1" t="s">
        <v>765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742</v>
      </c>
      <c r="B102" s="1" t="s">
        <v>698</v>
      </c>
      <c r="C102" s="1" t="s">
        <v>171</v>
      </c>
      <c r="E102" s="3" t="s">
        <v>369</v>
      </c>
      <c r="H102" s="1" t="s">
        <v>765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742</v>
      </c>
      <c r="B103" s="1" t="s">
        <v>699</v>
      </c>
      <c r="C103" s="1" t="s">
        <v>172</v>
      </c>
      <c r="E103" s="3" t="s">
        <v>370</v>
      </c>
      <c r="H103" s="1" t="s">
        <v>765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742</v>
      </c>
      <c r="B104" s="1" t="s">
        <v>700</v>
      </c>
      <c r="C104" s="1" t="s">
        <v>173</v>
      </c>
      <c r="D104" s="3" t="s">
        <v>237</v>
      </c>
      <c r="E104" s="11" t="s">
        <v>371</v>
      </c>
      <c r="H104" s="1" t="s">
        <v>765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742</v>
      </c>
      <c r="B105" s="1" t="s">
        <v>701</v>
      </c>
      <c r="C105" s="1" t="s">
        <v>174</v>
      </c>
      <c r="D105" s="3" t="s">
        <v>238</v>
      </c>
      <c r="E105" s="3" t="s">
        <v>372</v>
      </c>
      <c r="H105" s="1" t="s">
        <v>765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742</v>
      </c>
      <c r="B106" s="1" t="s">
        <v>702</v>
      </c>
      <c r="C106" s="1" t="s">
        <v>175</v>
      </c>
      <c r="D106" s="3" t="s">
        <v>239</v>
      </c>
      <c r="E106" s="3" t="s">
        <v>373</v>
      </c>
      <c r="H106" s="1" t="s">
        <v>765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742</v>
      </c>
      <c r="B107" s="1" t="s">
        <v>703</v>
      </c>
      <c r="C107" s="1" t="s">
        <v>176</v>
      </c>
      <c r="D107" s="3" t="s">
        <v>240</v>
      </c>
      <c r="E107" s="11" t="s">
        <v>374</v>
      </c>
      <c r="H107" s="1" t="s">
        <v>765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742</v>
      </c>
      <c r="B108" s="1" t="s">
        <v>704</v>
      </c>
      <c r="C108" s="1" t="s">
        <v>177</v>
      </c>
      <c r="D108" s="3" t="s">
        <v>241</v>
      </c>
      <c r="E108" s="3" t="s">
        <v>375</v>
      </c>
      <c r="H108" s="1" t="s">
        <v>765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742</v>
      </c>
      <c r="B109" s="1" t="s">
        <v>705</v>
      </c>
      <c r="C109" s="1" t="s">
        <v>178</v>
      </c>
      <c r="D109" s="3" t="s">
        <v>242</v>
      </c>
      <c r="E109" s="11" t="s">
        <v>376</v>
      </c>
      <c r="H109" s="1" t="s">
        <v>765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742</v>
      </c>
      <c r="B110" s="1" t="s">
        <v>706</v>
      </c>
      <c r="C110" s="1" t="s">
        <v>179</v>
      </c>
      <c r="D110" s="3" t="s">
        <v>243</v>
      </c>
      <c r="E110" s="11" t="s">
        <v>377</v>
      </c>
      <c r="H110" s="1" t="s">
        <v>765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742</v>
      </c>
      <c r="B111" s="1" t="s">
        <v>707</v>
      </c>
      <c r="C111" s="1" t="s">
        <v>180</v>
      </c>
      <c r="D111" s="3" t="s">
        <v>244</v>
      </c>
      <c r="E111" s="3" t="s">
        <v>378</v>
      </c>
      <c r="H111" s="1" t="s">
        <v>765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742</v>
      </c>
      <c r="B112" s="1" t="s">
        <v>708</v>
      </c>
      <c r="C112" s="1" t="s">
        <v>181</v>
      </c>
      <c r="D112" s="3" t="s">
        <v>245</v>
      </c>
      <c r="E112" s="11" t="s">
        <v>379</v>
      </c>
      <c r="H112" s="1" t="s">
        <v>765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742</v>
      </c>
      <c r="B113" s="1" t="s">
        <v>709</v>
      </c>
      <c r="C113" s="1" t="s">
        <v>182</v>
      </c>
      <c r="D113" s="3" t="s">
        <v>246</v>
      </c>
      <c r="E113" s="3" t="s">
        <v>380</v>
      </c>
      <c r="H113" s="1" t="s">
        <v>765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742</v>
      </c>
      <c r="B114" s="1" t="s">
        <v>710</v>
      </c>
      <c r="C114" s="1" t="s">
        <v>183</v>
      </c>
      <c r="D114" s="3" t="s">
        <v>247</v>
      </c>
      <c r="E114" s="3" t="s">
        <v>381</v>
      </c>
      <c r="H114" s="1" t="s">
        <v>765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742</v>
      </c>
      <c r="B115" s="1" t="s">
        <v>711</v>
      </c>
      <c r="C115" s="1" t="s">
        <v>184</v>
      </c>
      <c r="E115" s="3" t="s">
        <v>382</v>
      </c>
      <c r="H115" s="1" t="s">
        <v>765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742</v>
      </c>
      <c r="B116" s="1" t="s">
        <v>712</v>
      </c>
      <c r="C116" s="1" t="s">
        <v>185</v>
      </c>
      <c r="D116" s="3" t="s">
        <v>248</v>
      </c>
      <c r="E116" s="3" t="s">
        <v>383</v>
      </c>
      <c r="H116" s="1" t="s">
        <v>765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742</v>
      </c>
      <c r="B117" s="1" t="s">
        <v>713</v>
      </c>
      <c r="C117" s="1" t="s">
        <v>186</v>
      </c>
      <c r="D117" s="3" t="s">
        <v>225</v>
      </c>
      <c r="E117" s="3" t="s">
        <v>384</v>
      </c>
      <c r="H117" s="1" t="s">
        <v>765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742</v>
      </c>
      <c r="B118" s="1" t="s">
        <v>714</v>
      </c>
      <c r="C118" s="1" t="s">
        <v>187</v>
      </c>
      <c r="D118" s="3" t="s">
        <v>249</v>
      </c>
      <c r="E118" s="3" t="s">
        <v>385</v>
      </c>
      <c r="H118" s="1" t="s">
        <v>765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742</v>
      </c>
      <c r="B119" s="1" t="s">
        <v>715</v>
      </c>
      <c r="C119" s="1" t="s">
        <v>188</v>
      </c>
      <c r="D119" s="3" t="s">
        <v>250</v>
      </c>
      <c r="E119" s="3" t="s">
        <v>386</v>
      </c>
      <c r="H119" s="1" t="s">
        <v>765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742</v>
      </c>
      <c r="B120" s="1" t="s">
        <v>716</v>
      </c>
      <c r="C120" s="1" t="s">
        <v>189</v>
      </c>
      <c r="D120" s="3" t="s">
        <v>251</v>
      </c>
      <c r="E120" s="3" t="s">
        <v>387</v>
      </c>
      <c r="H120" s="1" t="s">
        <v>765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742</v>
      </c>
      <c r="B121" s="1" t="s">
        <v>717</v>
      </c>
      <c r="C121" s="1" t="s">
        <v>190</v>
      </c>
      <c r="H121" s="1" t="s">
        <v>765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742</v>
      </c>
      <c r="B122" s="1" t="s">
        <v>718</v>
      </c>
      <c r="C122" s="1" t="s">
        <v>191</v>
      </c>
      <c r="H122" s="1" t="s">
        <v>765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742</v>
      </c>
      <c r="B123" s="1" t="s">
        <v>719</v>
      </c>
      <c r="C123" s="1" t="s">
        <v>192</v>
      </c>
      <c r="D123" s="3" t="s">
        <v>252</v>
      </c>
      <c r="E123" s="3" t="s">
        <v>388</v>
      </c>
      <c r="H123" s="1" t="s">
        <v>765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742</v>
      </c>
      <c r="B124" s="1" t="s">
        <v>720</v>
      </c>
      <c r="C124" s="1" t="s">
        <v>193</v>
      </c>
      <c r="H124" s="1" t="s">
        <v>765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742</v>
      </c>
      <c r="B125" s="1" t="s">
        <v>721</v>
      </c>
      <c r="C125" s="1" t="s">
        <v>194</v>
      </c>
      <c r="D125" s="3" t="s">
        <v>253</v>
      </c>
      <c r="E125" s="3" t="s">
        <v>389</v>
      </c>
      <c r="H125" s="1" t="s">
        <v>765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742</v>
      </c>
      <c r="B126" s="1" t="s">
        <v>722</v>
      </c>
      <c r="C126" s="1" t="s">
        <v>195</v>
      </c>
      <c r="D126" s="3" t="s">
        <v>254</v>
      </c>
      <c r="E126" s="3" t="s">
        <v>390</v>
      </c>
      <c r="H126" s="1" t="s">
        <v>765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742</v>
      </c>
      <c r="B127" s="1" t="s">
        <v>723</v>
      </c>
      <c r="C127" s="1" t="s">
        <v>196</v>
      </c>
      <c r="D127" s="3" t="s">
        <v>255</v>
      </c>
      <c r="E127" s="11" t="s">
        <v>391</v>
      </c>
      <c r="H127" s="1" t="s">
        <v>765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742</v>
      </c>
      <c r="B128" s="1" t="s">
        <v>724</v>
      </c>
      <c r="C128" s="1" t="s">
        <v>197</v>
      </c>
      <c r="D128" s="3" t="s">
        <v>256</v>
      </c>
      <c r="E128" s="3" t="s">
        <v>392</v>
      </c>
      <c r="H128" s="1" t="s">
        <v>765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742</v>
      </c>
      <c r="B129" s="1" t="s">
        <v>725</v>
      </c>
      <c r="C129" s="1" t="s">
        <v>198</v>
      </c>
      <c r="E129" s="11" t="s">
        <v>393</v>
      </c>
      <c r="H129" s="1" t="s">
        <v>765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742</v>
      </c>
      <c r="B130" s="1" t="s">
        <v>726</v>
      </c>
      <c r="C130" s="1" t="s">
        <v>199</v>
      </c>
      <c r="E130" s="3" t="s">
        <v>394</v>
      </c>
      <c r="H130" s="1" t="s">
        <v>765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742</v>
      </c>
      <c r="B131" s="1" t="s">
        <v>727</v>
      </c>
      <c r="C131" s="1" t="s">
        <v>200</v>
      </c>
      <c r="H131" s="1" t="s">
        <v>765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742</v>
      </c>
      <c r="B132" s="1" t="s">
        <v>728</v>
      </c>
      <c r="C132" s="1" t="s">
        <v>201</v>
      </c>
      <c r="E132" s="3" t="s">
        <v>395</v>
      </c>
      <c r="H132" s="1" t="s">
        <v>765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742</v>
      </c>
      <c r="B133" s="1" t="s">
        <v>729</v>
      </c>
      <c r="H133" s="1" t="s">
        <v>765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742</v>
      </c>
      <c r="B134" s="1" t="s">
        <v>730</v>
      </c>
      <c r="D134" s="3" t="s">
        <v>257</v>
      </c>
      <c r="H134" s="1" t="s">
        <v>765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742</v>
      </c>
      <c r="B135" s="1" t="s">
        <v>731</v>
      </c>
      <c r="H135" s="1" t="s">
        <v>765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742</v>
      </c>
      <c r="B136" s="1" t="s">
        <v>732</v>
      </c>
      <c r="C136" s="1" t="s">
        <v>202</v>
      </c>
      <c r="D136" s="3" t="s">
        <v>258</v>
      </c>
      <c r="E136" s="3" t="s">
        <v>396</v>
      </c>
      <c r="F136" s="3" t="s">
        <v>505</v>
      </c>
      <c r="G136" s="3" t="s">
        <v>578</v>
      </c>
      <c r="H136" s="1" t="s">
        <v>765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742</v>
      </c>
      <c r="B137" s="1" t="s">
        <v>733</v>
      </c>
      <c r="C137" s="1" t="s">
        <v>203</v>
      </c>
      <c r="D137" s="3" t="s">
        <v>259</v>
      </c>
      <c r="H137" s="1" t="s">
        <v>765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766</v>
      </c>
      <c r="C138" s="1" t="s">
        <v>187</v>
      </c>
      <c r="D138" s="3" t="s">
        <v>249</v>
      </c>
      <c r="E138" s="3" t="s">
        <v>385</v>
      </c>
      <c r="H138" s="1" t="s">
        <v>765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767</v>
      </c>
      <c r="C139" s="1" t="s">
        <v>204</v>
      </c>
      <c r="D139" s="3" t="s">
        <v>260</v>
      </c>
      <c r="E139" s="3" t="s">
        <v>397</v>
      </c>
      <c r="H139" s="1" t="s">
        <v>765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768</v>
      </c>
      <c r="C140" s="1" t="s">
        <v>136</v>
      </c>
      <c r="D140" s="3" t="s">
        <v>261</v>
      </c>
      <c r="E140" s="3" t="s">
        <v>335</v>
      </c>
      <c r="H140" s="1" t="s">
        <v>765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769</v>
      </c>
      <c r="C141" s="1" t="s">
        <v>184</v>
      </c>
      <c r="E141" s="3" t="s">
        <v>398</v>
      </c>
      <c r="F141" s="3" t="s">
        <v>577</v>
      </c>
      <c r="H141" s="1" t="s">
        <v>765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770</v>
      </c>
      <c r="C142" s="1" t="s">
        <v>205</v>
      </c>
      <c r="H142" s="1" t="s">
        <v>765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771</v>
      </c>
      <c r="C143" s="1" t="s">
        <v>206</v>
      </c>
      <c r="H143" s="1" t="s">
        <v>765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772</v>
      </c>
      <c r="C144" s="1" t="s">
        <v>207</v>
      </c>
      <c r="H144" s="1" t="s">
        <v>765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773</v>
      </c>
      <c r="C145" s="1" t="s">
        <v>208</v>
      </c>
      <c r="H145" s="1" t="s">
        <v>765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774</v>
      </c>
      <c r="C146" s="1" t="s">
        <v>209</v>
      </c>
      <c r="H146" s="1" t="s">
        <v>765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775</v>
      </c>
      <c r="C147" s="1" t="s">
        <v>210</v>
      </c>
      <c r="H147" s="1" t="s">
        <v>765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776</v>
      </c>
      <c r="C148" s="1" t="s">
        <v>211</v>
      </c>
      <c r="H148" s="1" t="s">
        <v>765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777</v>
      </c>
      <c r="C149" s="1" t="s">
        <v>212</v>
      </c>
      <c r="H149" s="1" t="s">
        <v>765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778</v>
      </c>
      <c r="C150" s="1" t="s">
        <v>213</v>
      </c>
      <c r="H150" s="1" t="s">
        <v>765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779</v>
      </c>
      <c r="C151" s="1" t="s">
        <v>214</v>
      </c>
      <c r="H151" s="1" t="s">
        <v>765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780</v>
      </c>
      <c r="H152" s="1" t="s">
        <v>765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781</v>
      </c>
      <c r="H153" s="1" t="s">
        <v>765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782</v>
      </c>
      <c r="H154" s="1" t="s">
        <v>765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783</v>
      </c>
      <c r="H155" s="1" t="s">
        <v>765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784</v>
      </c>
      <c r="H156" s="1" t="s">
        <v>765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785</v>
      </c>
      <c r="H157" s="1" t="s">
        <v>765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786</v>
      </c>
      <c r="H158" s="1" t="s">
        <v>765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787</v>
      </c>
      <c r="H159" s="1" t="s">
        <v>765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788</v>
      </c>
      <c r="H160" s="1" t="s">
        <v>765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789</v>
      </c>
      <c r="H161" s="1" t="s">
        <v>765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790</v>
      </c>
      <c r="H162" s="1" t="s">
        <v>765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791</v>
      </c>
      <c r="H163" s="1" t="s">
        <v>765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792</v>
      </c>
      <c r="H164" s="1" t="s">
        <v>765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793</v>
      </c>
      <c r="H165" s="1" t="s">
        <v>765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794</v>
      </c>
      <c r="H166" s="1" t="s">
        <v>765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795</v>
      </c>
      <c r="H167" s="1" t="s">
        <v>765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796</v>
      </c>
      <c r="H168" s="1" t="s">
        <v>765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797</v>
      </c>
      <c r="H169" s="1" t="s">
        <v>765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798</v>
      </c>
      <c r="H170" s="1" t="s">
        <v>765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799</v>
      </c>
      <c r="H171" s="1" t="s">
        <v>765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800</v>
      </c>
      <c r="H172" s="1" t="s">
        <v>765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801</v>
      </c>
      <c r="H173" s="1" t="s">
        <v>765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802</v>
      </c>
      <c r="H174" s="1" t="s">
        <v>765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803</v>
      </c>
      <c r="H175" s="1" t="s">
        <v>765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804</v>
      </c>
      <c r="H176" s="1" t="s">
        <v>765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805</v>
      </c>
      <c r="H177" s="1" t="s">
        <v>765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806</v>
      </c>
      <c r="H178" s="1" t="s">
        <v>765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807</v>
      </c>
      <c r="H179" s="1" t="s">
        <v>765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808</v>
      </c>
      <c r="H180" s="1" t="s">
        <v>765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809</v>
      </c>
      <c r="H181" s="1" t="s">
        <v>765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810</v>
      </c>
      <c r="H182" s="1" t="s">
        <v>765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811</v>
      </c>
      <c r="H183" s="1" t="s">
        <v>765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812</v>
      </c>
      <c r="H184" s="1" t="s">
        <v>765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813</v>
      </c>
      <c r="H185" s="1" t="s">
        <v>765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814</v>
      </c>
      <c r="H186" s="1" t="s">
        <v>765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815</v>
      </c>
      <c r="H187" s="1" t="s">
        <v>765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816</v>
      </c>
      <c r="H188" s="1" t="s">
        <v>765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817</v>
      </c>
      <c r="H189" s="1" t="s">
        <v>765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818</v>
      </c>
      <c r="H190" s="1" t="s">
        <v>765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819</v>
      </c>
      <c r="H191" s="1" t="s">
        <v>765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820</v>
      </c>
      <c r="H192" s="1" t="s">
        <v>765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821</v>
      </c>
      <c r="H193" s="1" t="s">
        <v>765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822</v>
      </c>
      <c r="H194" s="1" t="s">
        <v>765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823</v>
      </c>
      <c r="H195" s="1" t="s">
        <v>765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824</v>
      </c>
      <c r="H196" s="1" t="s">
        <v>765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825</v>
      </c>
      <c r="H197" s="1" t="s">
        <v>765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826</v>
      </c>
      <c r="H198" s="1" t="s">
        <v>765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827</v>
      </c>
      <c r="H199" s="1" t="s">
        <v>765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828</v>
      </c>
      <c r="H200" s="1" t="s">
        <v>765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829</v>
      </c>
      <c r="H201" s="1" t="s">
        <v>765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830</v>
      </c>
      <c r="H202" s="1" t="s">
        <v>765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831</v>
      </c>
      <c r="H203" s="1" t="s">
        <v>765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832</v>
      </c>
      <c r="H204" s="1" t="s">
        <v>765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833</v>
      </c>
      <c r="H205" s="1" t="s">
        <v>765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834</v>
      </c>
      <c r="H206" s="1" t="s">
        <v>765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835</v>
      </c>
      <c r="H207" s="1" t="s">
        <v>765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836</v>
      </c>
      <c r="H208" s="1" t="s">
        <v>765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837</v>
      </c>
      <c r="H209" s="1" t="s">
        <v>765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838</v>
      </c>
      <c r="H210" s="1" t="s">
        <v>765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839</v>
      </c>
      <c r="H211" s="1" t="s">
        <v>765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840</v>
      </c>
      <c r="H212" s="1" t="s">
        <v>765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841</v>
      </c>
      <c r="H213" s="1" t="s">
        <v>765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842</v>
      </c>
      <c r="H214" s="1" t="s">
        <v>765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843</v>
      </c>
      <c r="H215" s="1" t="s">
        <v>765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844</v>
      </c>
      <c r="H216" s="1" t="s">
        <v>765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845</v>
      </c>
      <c r="H217" s="1" t="s">
        <v>765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846</v>
      </c>
      <c r="H218" s="1" t="s">
        <v>765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847</v>
      </c>
      <c r="H219" s="1" t="s">
        <v>765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848</v>
      </c>
      <c r="H220" s="1" t="s">
        <v>765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849</v>
      </c>
      <c r="H221" s="1" t="s">
        <v>765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850</v>
      </c>
      <c r="H222" s="1" t="s">
        <v>765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851</v>
      </c>
      <c r="H223" s="1" t="s">
        <v>765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852</v>
      </c>
      <c r="H224" s="1" t="s">
        <v>765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853</v>
      </c>
      <c r="H225" s="1" t="s">
        <v>765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854</v>
      </c>
      <c r="H226" s="1" t="s">
        <v>765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855</v>
      </c>
      <c r="H227" s="1" t="s">
        <v>765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856</v>
      </c>
      <c r="H228" s="1" t="s">
        <v>765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857</v>
      </c>
      <c r="H229" s="1" t="s">
        <v>765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858</v>
      </c>
      <c r="H230" s="1" t="s">
        <v>765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859</v>
      </c>
      <c r="H231" s="1" t="s">
        <v>765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860</v>
      </c>
      <c r="H232" s="1" t="s">
        <v>765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861</v>
      </c>
      <c r="H233" s="1" t="s">
        <v>765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862</v>
      </c>
      <c r="H234" s="1" t="s">
        <v>765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863</v>
      </c>
      <c r="H235" s="1" t="s">
        <v>765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864</v>
      </c>
      <c r="H236" s="1" t="s">
        <v>765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865</v>
      </c>
      <c r="H237" s="1" t="s">
        <v>765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866</v>
      </c>
      <c r="H238" s="1" t="s">
        <v>765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867</v>
      </c>
      <c r="H239" s="1" t="s">
        <v>765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868</v>
      </c>
      <c r="H240" s="1" t="s">
        <v>765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869</v>
      </c>
      <c r="H241" s="1" t="s">
        <v>765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870</v>
      </c>
      <c r="H242" s="1" t="s">
        <v>765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871</v>
      </c>
      <c r="H243" s="1" t="s">
        <v>765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872</v>
      </c>
      <c r="H244" s="1" t="s">
        <v>765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873</v>
      </c>
      <c r="H245" s="1" t="s">
        <v>765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874</v>
      </c>
      <c r="H246" s="1" t="s">
        <v>765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875</v>
      </c>
      <c r="H247" s="1" t="s">
        <v>765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876</v>
      </c>
      <c r="H248" s="1" t="s">
        <v>765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877</v>
      </c>
      <c r="H249" s="1" t="s">
        <v>765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878</v>
      </c>
      <c r="H250" s="1" t="s">
        <v>765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879</v>
      </c>
      <c r="H251" s="1" t="s">
        <v>765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880</v>
      </c>
      <c r="H252" s="1" t="s">
        <v>765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881</v>
      </c>
      <c r="H253" s="1" t="s">
        <v>765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882</v>
      </c>
      <c r="H254" s="1" t="s">
        <v>765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883</v>
      </c>
      <c r="H255" s="1" t="s">
        <v>765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884</v>
      </c>
      <c r="H256" s="1" t="s">
        <v>765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885</v>
      </c>
      <c r="H257" s="1" t="s">
        <v>765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886</v>
      </c>
      <c r="H258" s="1" t="s">
        <v>765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887</v>
      </c>
      <c r="H259" s="1" t="s">
        <v>765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888</v>
      </c>
      <c r="H260" s="1" t="s">
        <v>765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889</v>
      </c>
      <c r="H261" s="1" t="s">
        <v>765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890</v>
      </c>
      <c r="H262" s="1" t="s">
        <v>765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891</v>
      </c>
      <c r="H263" s="1" t="s">
        <v>765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892</v>
      </c>
      <c r="H264" s="1" t="s">
        <v>765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893</v>
      </c>
      <c r="H265" s="1" t="s">
        <v>765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894</v>
      </c>
      <c r="H266" s="1" t="s">
        <v>765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895</v>
      </c>
      <c r="H267" s="1" t="s">
        <v>765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896</v>
      </c>
      <c r="H268" s="1" t="s">
        <v>765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897</v>
      </c>
      <c r="H269" s="1" t="s">
        <v>765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898</v>
      </c>
      <c r="H270" s="1" t="s">
        <v>765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899</v>
      </c>
      <c r="H271" s="1" t="s">
        <v>765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900</v>
      </c>
      <c r="H272" s="1" t="s">
        <v>765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901</v>
      </c>
      <c r="H273" s="1" t="s">
        <v>765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902</v>
      </c>
      <c r="H274" s="1" t="s">
        <v>765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903</v>
      </c>
      <c r="H275" s="1" t="s">
        <v>765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904</v>
      </c>
      <c r="H276" s="1" t="s">
        <v>765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905</v>
      </c>
      <c r="H277" s="1" t="s">
        <v>765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906</v>
      </c>
      <c r="H278" s="1" t="s">
        <v>765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907</v>
      </c>
      <c r="H279" s="1" t="s">
        <v>765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908</v>
      </c>
      <c r="H280" s="1" t="s">
        <v>765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909</v>
      </c>
      <c r="H281" s="1" t="s">
        <v>765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910</v>
      </c>
      <c r="H282" s="1" t="s">
        <v>765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911</v>
      </c>
      <c r="H283" s="1" t="s">
        <v>765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912</v>
      </c>
      <c r="H284" s="1" t="s">
        <v>765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913</v>
      </c>
      <c r="H285" s="1" t="s">
        <v>765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914</v>
      </c>
      <c r="H286" s="1" t="s">
        <v>765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915</v>
      </c>
      <c r="H287" s="1" t="s">
        <v>765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916</v>
      </c>
      <c r="H288" s="1" t="s">
        <v>765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917</v>
      </c>
      <c r="H289" s="1" t="s">
        <v>765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918</v>
      </c>
      <c r="H290" s="1" t="s">
        <v>765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919</v>
      </c>
      <c r="H291" s="1" t="s">
        <v>765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920</v>
      </c>
      <c r="H292" s="1" t="s">
        <v>765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921</v>
      </c>
      <c r="H293" s="1" t="s">
        <v>765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922</v>
      </c>
      <c r="H294" s="1" t="s">
        <v>765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923</v>
      </c>
      <c r="H295" s="1" t="s">
        <v>765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924</v>
      </c>
      <c r="H296" s="1" t="s">
        <v>765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925</v>
      </c>
      <c r="H297" s="1" t="s">
        <v>765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926</v>
      </c>
      <c r="H298" s="1" t="s">
        <v>765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927</v>
      </c>
      <c r="H299" s="1" t="s">
        <v>765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928</v>
      </c>
      <c r="H300" s="1" t="s">
        <v>765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929</v>
      </c>
      <c r="H301" s="1" t="s">
        <v>765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930</v>
      </c>
      <c r="H302" s="1" t="s">
        <v>765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931</v>
      </c>
      <c r="H303" s="1" t="s">
        <v>765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932</v>
      </c>
      <c r="H304" s="1" t="s">
        <v>765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933</v>
      </c>
      <c r="H305" s="1" t="s">
        <v>765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934</v>
      </c>
      <c r="H306" s="1" t="s">
        <v>765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935</v>
      </c>
      <c r="H307" s="1" t="s">
        <v>765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936</v>
      </c>
      <c r="H308" s="1" t="s">
        <v>765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937</v>
      </c>
      <c r="H309" s="1" t="s">
        <v>765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938</v>
      </c>
      <c r="H310" s="1" t="s">
        <v>765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939</v>
      </c>
      <c r="H311" s="1" t="s">
        <v>765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940</v>
      </c>
      <c r="H312" s="1" t="s">
        <v>765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941</v>
      </c>
      <c r="H313" s="1" t="s">
        <v>765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942</v>
      </c>
      <c r="H314" s="1" t="s">
        <v>765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943</v>
      </c>
      <c r="H315" s="1" t="s">
        <v>765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944</v>
      </c>
      <c r="H316" s="1" t="s">
        <v>765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945</v>
      </c>
      <c r="H317" s="1" t="s">
        <v>765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946</v>
      </c>
      <c r="H318" s="1" t="s">
        <v>765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947</v>
      </c>
      <c r="H319" s="1" t="s">
        <v>765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948</v>
      </c>
      <c r="H320" s="1" t="s">
        <v>765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949</v>
      </c>
      <c r="H321" s="1" t="s">
        <v>765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950</v>
      </c>
      <c r="H322" s="1" t="s">
        <v>765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951</v>
      </c>
      <c r="H323" s="1" t="s">
        <v>765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952</v>
      </c>
      <c r="H324" s="1" t="s">
        <v>765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953</v>
      </c>
      <c r="H325" s="1" t="s">
        <v>765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954</v>
      </c>
      <c r="H326" s="1" t="s">
        <v>765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955</v>
      </c>
      <c r="H327" s="1" t="s">
        <v>765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956</v>
      </c>
      <c r="H328" s="1" t="s">
        <v>765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957</v>
      </c>
      <c r="H329" s="1" t="s">
        <v>765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958</v>
      </c>
      <c r="H330" s="1" t="s">
        <v>765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959</v>
      </c>
      <c r="H331" s="1" t="s">
        <v>765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960</v>
      </c>
      <c r="H332" s="1" t="s">
        <v>765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961</v>
      </c>
      <c r="H333" s="1" t="s">
        <v>765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962</v>
      </c>
      <c r="H334" s="1" t="s">
        <v>765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963</v>
      </c>
      <c r="H335" s="1" t="s">
        <v>765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964</v>
      </c>
      <c r="H336" s="1" t="s">
        <v>765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965</v>
      </c>
      <c r="H337" s="1" t="s">
        <v>765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966</v>
      </c>
      <c r="H338" s="1" t="s">
        <v>765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967</v>
      </c>
      <c r="H339" s="1" t="s">
        <v>765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968</v>
      </c>
      <c r="H340" s="1" t="s">
        <v>765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969</v>
      </c>
      <c r="H341" s="1" t="s">
        <v>765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970</v>
      </c>
      <c r="H342" s="1" t="s">
        <v>765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971</v>
      </c>
      <c r="H343" s="1" t="s">
        <v>765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972</v>
      </c>
      <c r="H344" s="1" t="s">
        <v>765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973</v>
      </c>
      <c r="H345" s="1" t="s">
        <v>765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974</v>
      </c>
      <c r="H346" s="1" t="s">
        <v>765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975</v>
      </c>
      <c r="H347" s="1" t="s">
        <v>765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976</v>
      </c>
      <c r="H348" s="1" t="s">
        <v>765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977</v>
      </c>
      <c r="H349" s="1" t="s">
        <v>765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978</v>
      </c>
      <c r="H350" s="1" t="s">
        <v>765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979</v>
      </c>
      <c r="H351" s="1" t="s">
        <v>765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980</v>
      </c>
      <c r="H352" s="1" t="s">
        <v>765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981</v>
      </c>
      <c r="H353" s="1" t="s">
        <v>765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982</v>
      </c>
      <c r="H354" s="1" t="s">
        <v>765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983</v>
      </c>
      <c r="H355" s="1" t="s">
        <v>765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984</v>
      </c>
      <c r="H356" s="1" t="s">
        <v>765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985</v>
      </c>
      <c r="H357" s="1" t="s">
        <v>765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986</v>
      </c>
      <c r="H358" s="1" t="s">
        <v>765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987</v>
      </c>
      <c r="H359" s="1" t="s">
        <v>765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988</v>
      </c>
      <c r="H360" s="1" t="s">
        <v>765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989</v>
      </c>
      <c r="H361" s="1" t="s">
        <v>765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990</v>
      </c>
      <c r="H362" s="1" t="s">
        <v>765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991</v>
      </c>
      <c r="H363" s="1" t="s">
        <v>765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992</v>
      </c>
      <c r="H364" s="1" t="s">
        <v>765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993</v>
      </c>
      <c r="H365" s="1" t="s">
        <v>765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994</v>
      </c>
      <c r="H366" s="1" t="s">
        <v>765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995</v>
      </c>
      <c r="H367" s="1" t="s">
        <v>765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996</v>
      </c>
      <c r="H368" s="1" t="s">
        <v>765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997</v>
      </c>
      <c r="H369" s="1" t="s">
        <v>765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998</v>
      </c>
      <c r="H370" s="1" t="s">
        <v>765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999</v>
      </c>
      <c r="H371" s="1" t="s">
        <v>765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1000</v>
      </c>
      <c r="H372" s="1" t="s">
        <v>765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1001</v>
      </c>
      <c r="H373" s="1" t="s">
        <v>765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1002</v>
      </c>
      <c r="H374" s="1" t="s">
        <v>765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1003</v>
      </c>
      <c r="H375" s="1" t="s">
        <v>765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1004</v>
      </c>
      <c r="H376" s="1" t="s">
        <v>765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1005</v>
      </c>
      <c r="H377" s="1" t="s">
        <v>765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1006</v>
      </c>
      <c r="H378" s="1" t="s">
        <v>765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1007</v>
      </c>
      <c r="H379" s="1" t="s">
        <v>765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1008</v>
      </c>
      <c r="H380" s="1" t="s">
        <v>765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1009</v>
      </c>
      <c r="H381" s="1" t="s">
        <v>765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1010</v>
      </c>
      <c r="H382" s="1" t="s">
        <v>765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1011</v>
      </c>
      <c r="H383" s="1" t="s">
        <v>765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1012</v>
      </c>
      <c r="H384" s="1" t="s">
        <v>765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1013</v>
      </c>
      <c r="H385" s="1" t="s">
        <v>765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1014</v>
      </c>
      <c r="H386" s="1" t="s">
        <v>765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1015</v>
      </c>
      <c r="H387" s="1" t="s">
        <v>765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1016</v>
      </c>
      <c r="H388" s="1" t="s">
        <v>765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1017</v>
      </c>
      <c r="H389" s="1" t="s">
        <v>765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1018</v>
      </c>
      <c r="H390" s="1" t="s">
        <v>765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1019</v>
      </c>
      <c r="H391" s="1" t="s">
        <v>765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1020</v>
      </c>
      <c r="H392" s="1" t="s">
        <v>765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1021</v>
      </c>
      <c r="H393" s="1" t="s">
        <v>765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1022</v>
      </c>
      <c r="H394" s="1" t="s">
        <v>765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1023</v>
      </c>
      <c r="H395" s="1" t="s">
        <v>765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1024</v>
      </c>
      <c r="H396" s="1" t="s">
        <v>765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1025</v>
      </c>
      <c r="H397" s="1" t="s">
        <v>765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1026</v>
      </c>
      <c r="H398" s="1" t="s">
        <v>765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1027</v>
      </c>
      <c r="H399" s="1" t="s">
        <v>765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1028</v>
      </c>
      <c r="H400" s="1" t="s">
        <v>765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1029</v>
      </c>
      <c r="H401" s="1" t="s">
        <v>765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1030</v>
      </c>
      <c r="H402" s="1" t="s">
        <v>765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1031</v>
      </c>
      <c r="H403" s="1" t="s">
        <v>765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1032</v>
      </c>
      <c r="H404" s="1" t="s">
        <v>765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1033</v>
      </c>
      <c r="H405" s="1" t="s">
        <v>765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1034</v>
      </c>
      <c r="H406" s="1" t="s">
        <v>765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1035</v>
      </c>
      <c r="H407" s="1" t="s">
        <v>765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1036</v>
      </c>
      <c r="H408" s="1" t="s">
        <v>765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1037</v>
      </c>
      <c r="H409" s="1" t="s">
        <v>765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1038</v>
      </c>
      <c r="H410" s="1" t="s">
        <v>765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1039</v>
      </c>
      <c r="H411" s="1" t="s">
        <v>765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1040</v>
      </c>
      <c r="H412" s="1" t="s">
        <v>765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1041</v>
      </c>
      <c r="H413" s="1" t="s">
        <v>765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1042</v>
      </c>
      <c r="H414" s="1" t="s">
        <v>765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1043</v>
      </c>
      <c r="H415" s="1" t="s">
        <v>765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1044</v>
      </c>
      <c r="H416" s="1" t="s">
        <v>765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1045</v>
      </c>
      <c r="H417" s="1" t="s">
        <v>765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1046</v>
      </c>
      <c r="H418" s="1" t="s">
        <v>765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1047</v>
      </c>
      <c r="H419" s="1" t="s">
        <v>765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1048</v>
      </c>
      <c r="H420" s="1" t="s">
        <v>765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1049</v>
      </c>
      <c r="H421" s="1" t="s">
        <v>765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1050</v>
      </c>
      <c r="H422" s="1" t="s">
        <v>765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1051</v>
      </c>
      <c r="H423" s="1" t="s">
        <v>765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1052</v>
      </c>
      <c r="H424" s="1" t="s">
        <v>765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1053</v>
      </c>
      <c r="H425" s="1" t="s">
        <v>765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1054</v>
      </c>
      <c r="H426" s="1" t="s">
        <v>765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1055</v>
      </c>
      <c r="H427" s="1" t="s">
        <v>765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1056</v>
      </c>
      <c r="H428" s="1" t="s">
        <v>765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1057</v>
      </c>
      <c r="H429" s="1" t="s">
        <v>765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1058</v>
      </c>
      <c r="H430" s="1" t="s">
        <v>765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1059</v>
      </c>
      <c r="H431" s="1" t="s">
        <v>765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1060</v>
      </c>
      <c r="H432" s="1" t="s">
        <v>765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1061</v>
      </c>
      <c r="H433" s="1" t="s">
        <v>765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1062</v>
      </c>
      <c r="H434" s="1" t="s">
        <v>765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1063</v>
      </c>
      <c r="H435" s="1" t="s">
        <v>765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1064</v>
      </c>
      <c r="H436" s="1" t="s">
        <v>765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1065</v>
      </c>
      <c r="H437" s="1" t="s">
        <v>765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1066</v>
      </c>
      <c r="H438" s="1" t="s">
        <v>765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1067</v>
      </c>
      <c r="H439" s="1" t="s">
        <v>765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1068</v>
      </c>
      <c r="H440" s="1" t="s">
        <v>765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1069</v>
      </c>
      <c r="H441" s="1" t="s">
        <v>765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1070</v>
      </c>
      <c r="H442" s="1" t="s">
        <v>765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1071</v>
      </c>
      <c r="H443" s="1" t="s">
        <v>765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1072</v>
      </c>
      <c r="H444" s="1" t="s">
        <v>765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1073</v>
      </c>
      <c r="H445" s="1" t="s">
        <v>765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1074</v>
      </c>
      <c r="H446" s="1" t="s">
        <v>765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1075</v>
      </c>
      <c r="H447" s="1" t="s">
        <v>765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1076</v>
      </c>
      <c r="H448" s="1" t="s">
        <v>765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1077</v>
      </c>
      <c r="H449" s="1" t="s">
        <v>765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1078</v>
      </c>
      <c r="H450" s="1" t="s">
        <v>765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1079</v>
      </c>
      <c r="H451" s="1" t="s">
        <v>765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1080</v>
      </c>
      <c r="H452" s="1" t="s">
        <v>765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1081</v>
      </c>
      <c r="H453" s="1" t="s">
        <v>765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1082</v>
      </c>
      <c r="H454" s="1" t="s">
        <v>765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1083</v>
      </c>
      <c r="H455" s="1" t="s">
        <v>765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1084</v>
      </c>
      <c r="H456" s="1" t="s">
        <v>765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1085</v>
      </c>
      <c r="H457" s="1" t="s">
        <v>765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1086</v>
      </c>
      <c r="H458" s="1" t="s">
        <v>765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1087</v>
      </c>
      <c r="H459" s="1" t="s">
        <v>765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1088</v>
      </c>
      <c r="H460" s="1" t="s">
        <v>765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1089</v>
      </c>
      <c r="H461" s="1" t="s">
        <v>765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1090</v>
      </c>
      <c r="H462" s="1" t="s">
        <v>765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1091</v>
      </c>
      <c r="H463" s="1" t="s">
        <v>765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1092</v>
      </c>
      <c r="H464" s="1" t="s">
        <v>765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1093</v>
      </c>
      <c r="H465" s="1" t="s">
        <v>765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1094</v>
      </c>
      <c r="H466" s="1" t="s">
        <v>765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1095</v>
      </c>
      <c r="H467" s="1" t="s">
        <v>765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1096</v>
      </c>
      <c r="H468" s="1" t="s">
        <v>765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1097</v>
      </c>
      <c r="H469" s="1" t="s">
        <v>765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1098</v>
      </c>
      <c r="H470" s="1" t="s">
        <v>765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1099</v>
      </c>
      <c r="H471" s="1" t="s">
        <v>765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1100</v>
      </c>
      <c r="H472" s="1" t="s">
        <v>765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1101</v>
      </c>
      <c r="H473" s="1" t="s">
        <v>765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1102</v>
      </c>
      <c r="H474" s="1" t="s">
        <v>765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1103</v>
      </c>
      <c r="H475" s="1" t="s">
        <v>765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1104</v>
      </c>
      <c r="H476" s="1" t="s">
        <v>765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1105</v>
      </c>
      <c r="H477" s="1" t="s">
        <v>765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1106</v>
      </c>
      <c r="H478" s="1" t="s">
        <v>765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1107</v>
      </c>
      <c r="H479" s="1" t="s">
        <v>765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1108</v>
      </c>
      <c r="H480" s="1" t="s">
        <v>765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1109</v>
      </c>
      <c r="H481" s="1" t="s">
        <v>765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1110</v>
      </c>
      <c r="H482" s="1" t="s">
        <v>765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1111</v>
      </c>
      <c r="H483" s="1" t="s">
        <v>765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1112</v>
      </c>
      <c r="H484" s="1" t="s">
        <v>765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1113</v>
      </c>
      <c r="H485" s="1" t="s">
        <v>765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1114</v>
      </c>
      <c r="H486" s="1" t="s">
        <v>765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1115</v>
      </c>
      <c r="H487" s="1" t="s">
        <v>765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1116</v>
      </c>
      <c r="H488" s="1" t="s">
        <v>765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1117</v>
      </c>
      <c r="H489" s="1" t="s">
        <v>765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1118</v>
      </c>
      <c r="H490" s="1" t="s">
        <v>765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1119</v>
      </c>
      <c r="H491" s="1" t="s">
        <v>765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1120</v>
      </c>
      <c r="H492" s="1" t="s">
        <v>765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1121</v>
      </c>
      <c r="H493" s="1" t="s">
        <v>765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1122</v>
      </c>
      <c r="H494" s="1" t="s">
        <v>765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1123</v>
      </c>
      <c r="H495" s="1" t="s">
        <v>765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1124</v>
      </c>
      <c r="H496" s="1" t="s">
        <v>765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1125</v>
      </c>
      <c r="H497" s="1" t="s">
        <v>765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1126</v>
      </c>
      <c r="H498" s="1" t="s">
        <v>765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1127</v>
      </c>
      <c r="H499" s="1" t="s">
        <v>765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1128</v>
      </c>
      <c r="H500" s="1" t="s">
        <v>765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1129</v>
      </c>
      <c r="H501" s="1" t="s">
        <v>765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1130</v>
      </c>
      <c r="H502" s="1" t="s">
        <v>765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1131</v>
      </c>
      <c r="H503" s="1" t="s">
        <v>765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1132</v>
      </c>
      <c r="H504" s="1" t="s">
        <v>765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1133</v>
      </c>
      <c r="H505" s="1" t="s">
        <v>765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1134</v>
      </c>
      <c r="H506" s="1" t="s">
        <v>765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1135</v>
      </c>
      <c r="H507" s="1" t="s">
        <v>765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1136</v>
      </c>
      <c r="H508" s="1" t="s">
        <v>765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1137</v>
      </c>
      <c r="H509" s="1" t="s">
        <v>765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1138</v>
      </c>
      <c r="H510" s="1" t="s">
        <v>765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1139</v>
      </c>
      <c r="H511" s="1" t="s">
        <v>765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1140</v>
      </c>
      <c r="H512" s="1" t="s">
        <v>765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1141</v>
      </c>
      <c r="H513" s="1" t="s">
        <v>765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1142</v>
      </c>
      <c r="H514" s="1" t="s">
        <v>765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1143</v>
      </c>
      <c r="H515" s="1" t="s">
        <v>765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1144</v>
      </c>
      <c r="H516" s="1" t="s">
        <v>765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1145</v>
      </c>
      <c r="H517" s="1" t="s">
        <v>765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1146</v>
      </c>
      <c r="H518" s="1" t="s">
        <v>765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1147</v>
      </c>
      <c r="H519" s="1" t="s">
        <v>765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1148</v>
      </c>
      <c r="H520" s="1" t="s">
        <v>765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1149</v>
      </c>
      <c r="H521" s="1" t="s">
        <v>765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1150</v>
      </c>
      <c r="H522" s="1" t="s">
        <v>765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1151</v>
      </c>
      <c r="H523" s="1" t="s">
        <v>765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1152</v>
      </c>
      <c r="H524" s="1" t="s">
        <v>765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1153</v>
      </c>
      <c r="H525" s="1" t="s">
        <v>765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1154</v>
      </c>
      <c r="H526" s="1" t="s">
        <v>765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1155</v>
      </c>
      <c r="H527" s="1" t="s">
        <v>765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1156</v>
      </c>
      <c r="H528" s="1" t="s">
        <v>765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1157</v>
      </c>
      <c r="H529" s="1" t="s">
        <v>765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1158</v>
      </c>
      <c r="H530" s="1" t="s">
        <v>765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1159</v>
      </c>
      <c r="H531" s="1" t="s">
        <v>765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1160</v>
      </c>
      <c r="H532" s="1" t="s">
        <v>765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1161</v>
      </c>
      <c r="H533" s="1" t="s">
        <v>765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1162</v>
      </c>
      <c r="H534" s="1" t="s">
        <v>765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1163</v>
      </c>
      <c r="H535" s="1" t="s">
        <v>765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1164</v>
      </c>
      <c r="H536" s="1" t="s">
        <v>765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1165</v>
      </c>
      <c r="H537" s="1" t="s">
        <v>765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1166</v>
      </c>
      <c r="H538" s="1" t="s">
        <v>765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1167</v>
      </c>
      <c r="H539" s="1" t="s">
        <v>765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1168</v>
      </c>
      <c r="H540" s="1" t="s">
        <v>765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1169</v>
      </c>
      <c r="H541" s="1" t="s">
        <v>765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1170</v>
      </c>
      <c r="H542" s="1" t="s">
        <v>765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1171</v>
      </c>
      <c r="H543" s="1" t="s">
        <v>765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1172</v>
      </c>
      <c r="H544" s="1" t="s">
        <v>765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1173</v>
      </c>
      <c r="H545" s="1" t="s">
        <v>765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1174</v>
      </c>
      <c r="H546" s="1" t="s">
        <v>765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1175</v>
      </c>
      <c r="H547" s="1" t="s">
        <v>765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1176</v>
      </c>
      <c r="H548" s="1" t="s">
        <v>765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1177</v>
      </c>
      <c r="H549" s="1" t="s">
        <v>765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1178</v>
      </c>
      <c r="H550" s="1" t="s">
        <v>765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1179</v>
      </c>
      <c r="H551" s="1" t="s">
        <v>765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1180</v>
      </c>
      <c r="H552" s="1" t="s">
        <v>765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1181</v>
      </c>
      <c r="H553" s="1" t="s">
        <v>765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1182</v>
      </c>
      <c r="H554" s="1" t="s">
        <v>765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1183</v>
      </c>
      <c r="H555" s="1" t="s">
        <v>765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1184</v>
      </c>
      <c r="H556" s="1" t="s">
        <v>765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1185</v>
      </c>
      <c r="H557" s="1" t="s">
        <v>765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1186</v>
      </c>
      <c r="H558" s="1" t="s">
        <v>765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1187</v>
      </c>
      <c r="H559" s="1" t="s">
        <v>765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1188</v>
      </c>
      <c r="H560" s="1" t="s">
        <v>765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1189</v>
      </c>
      <c r="H561" s="1" t="s">
        <v>765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1190</v>
      </c>
      <c r="H562" s="1" t="s">
        <v>765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1191</v>
      </c>
      <c r="H563" s="1" t="s">
        <v>765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1192</v>
      </c>
      <c r="H564" s="1" t="s">
        <v>765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1193</v>
      </c>
      <c r="H565" s="1" t="s">
        <v>765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1194</v>
      </c>
      <c r="H566" s="1" t="s">
        <v>765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1195</v>
      </c>
      <c r="H567" s="1" t="s">
        <v>765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1196</v>
      </c>
      <c r="H568" s="1" t="s">
        <v>765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1197</v>
      </c>
      <c r="H569" s="1" t="s">
        <v>765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1198</v>
      </c>
      <c r="H570" s="1" t="s">
        <v>765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1199</v>
      </c>
      <c r="H571" s="1" t="s">
        <v>765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1200</v>
      </c>
      <c r="H572" s="1" t="s">
        <v>765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1201</v>
      </c>
      <c r="H573" s="1" t="s">
        <v>765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1202</v>
      </c>
      <c r="H574" s="1" t="s">
        <v>765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1203</v>
      </c>
      <c r="H575" s="1" t="s">
        <v>765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1204</v>
      </c>
      <c r="H576" s="1" t="s">
        <v>765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1205</v>
      </c>
      <c r="H577" s="1" t="s">
        <v>765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1206</v>
      </c>
      <c r="H578" s="1" t="s">
        <v>765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1207</v>
      </c>
      <c r="H579" s="1" t="s">
        <v>765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1208</v>
      </c>
      <c r="H580" s="1" t="s">
        <v>765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1209</v>
      </c>
      <c r="H581" s="1" t="s">
        <v>765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1210</v>
      </c>
      <c r="H582" s="1" t="s">
        <v>765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1211</v>
      </c>
      <c r="H583" s="1" t="s">
        <v>765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1212</v>
      </c>
      <c r="H584" s="1" t="s">
        <v>765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1213</v>
      </c>
      <c r="H585" s="1" t="s">
        <v>765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1214</v>
      </c>
      <c r="H586" s="1" t="s">
        <v>765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1215</v>
      </c>
      <c r="H587" s="1" t="s">
        <v>765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1216</v>
      </c>
      <c r="H588" s="1" t="s">
        <v>765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1217</v>
      </c>
      <c r="H589" s="1" t="s">
        <v>765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1218</v>
      </c>
      <c r="H590" s="1" t="s">
        <v>765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1219</v>
      </c>
      <c r="H591" s="1" t="s">
        <v>765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1220</v>
      </c>
      <c r="H592" s="1" t="s">
        <v>765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1221</v>
      </c>
      <c r="H593" s="1" t="s">
        <v>765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1222</v>
      </c>
      <c r="H594" s="1" t="s">
        <v>765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1223</v>
      </c>
      <c r="H595" s="1" t="s">
        <v>765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1224</v>
      </c>
      <c r="H596" s="1" t="s">
        <v>765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1225</v>
      </c>
      <c r="H597" s="1" t="s">
        <v>765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1226</v>
      </c>
      <c r="H598" s="1" t="s">
        <v>765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1227</v>
      </c>
      <c r="H599" s="1" t="s">
        <v>765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1228</v>
      </c>
      <c r="H600" s="1" t="s">
        <v>765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1229</v>
      </c>
      <c r="H601" s="1" t="s">
        <v>765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1230</v>
      </c>
      <c r="H602" s="1" t="s">
        <v>765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1231</v>
      </c>
      <c r="H603" s="1" t="s">
        <v>765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1232</v>
      </c>
      <c r="H604" s="1" t="s">
        <v>765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1233</v>
      </c>
      <c r="H605" s="1" t="s">
        <v>765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1234</v>
      </c>
      <c r="H606" s="1" t="s">
        <v>765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1235</v>
      </c>
      <c r="H607" s="1" t="s">
        <v>765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1236</v>
      </c>
      <c r="H608" s="1" t="s">
        <v>765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1237</v>
      </c>
      <c r="H609" s="1" t="s">
        <v>765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1238</v>
      </c>
      <c r="H610" s="1" t="s">
        <v>765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1239</v>
      </c>
      <c r="H611" s="1" t="s">
        <v>765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1240</v>
      </c>
      <c r="H612" s="1" t="s">
        <v>765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1241</v>
      </c>
      <c r="H613" s="1" t="s">
        <v>765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1242</v>
      </c>
      <c r="H614" s="1" t="s">
        <v>765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1243</v>
      </c>
      <c r="H615" s="1" t="s">
        <v>765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1244</v>
      </c>
      <c r="H616" s="1" t="s">
        <v>765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1245</v>
      </c>
      <c r="H617" s="1" t="s">
        <v>765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1246</v>
      </c>
      <c r="H618" s="1" t="s">
        <v>765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1247</v>
      </c>
      <c r="H619" s="1" t="s">
        <v>765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1248</v>
      </c>
      <c r="H620" s="1" t="s">
        <v>765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1249</v>
      </c>
      <c r="H621" s="1" t="s">
        <v>765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1250</v>
      </c>
      <c r="H622" s="1" t="s">
        <v>765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1251</v>
      </c>
      <c r="H623" s="1" t="s">
        <v>765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1252</v>
      </c>
      <c r="H624" s="1" t="s">
        <v>765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1253</v>
      </c>
      <c r="H625" s="1" t="s">
        <v>765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1254</v>
      </c>
      <c r="H626" s="1" t="s">
        <v>765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1255</v>
      </c>
      <c r="H627" s="1" t="s">
        <v>765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1256</v>
      </c>
      <c r="H628" s="1" t="s">
        <v>765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1257</v>
      </c>
      <c r="H629" s="1" t="s">
        <v>765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1258</v>
      </c>
      <c r="H630" s="1" t="s">
        <v>765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1259</v>
      </c>
      <c r="H631" s="1" t="s">
        <v>765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1260</v>
      </c>
      <c r="H632" s="1" t="s">
        <v>765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1261</v>
      </c>
      <c r="H633" s="1" t="s">
        <v>765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1262</v>
      </c>
      <c r="H634" s="1" t="s">
        <v>765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1263</v>
      </c>
      <c r="H635" s="1" t="s">
        <v>765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1264</v>
      </c>
      <c r="H636" s="1" t="s">
        <v>765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1265</v>
      </c>
      <c r="H637" s="1" t="s">
        <v>765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1266</v>
      </c>
      <c r="H638" s="1" t="s">
        <v>765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1267</v>
      </c>
      <c r="H639" s="1" t="s">
        <v>765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1268</v>
      </c>
      <c r="H640" s="1" t="s">
        <v>765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1269</v>
      </c>
      <c r="H641" s="1" t="s">
        <v>765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1270</v>
      </c>
      <c r="H642" s="1" t="s">
        <v>765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1271</v>
      </c>
      <c r="H643" s="1" t="s">
        <v>765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1272</v>
      </c>
      <c r="H644" s="1" t="s">
        <v>765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1273</v>
      </c>
      <c r="H645" s="1" t="s">
        <v>765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1274</v>
      </c>
      <c r="H646" s="1" t="s">
        <v>765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1275</v>
      </c>
      <c r="H647" s="1" t="s">
        <v>765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1276</v>
      </c>
      <c r="H648" s="1" t="s">
        <v>765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1277</v>
      </c>
      <c r="H649" s="1" t="s">
        <v>765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1278</v>
      </c>
      <c r="H650" s="1" t="s">
        <v>765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1279</v>
      </c>
      <c r="H651" s="1" t="s">
        <v>765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1280</v>
      </c>
      <c r="H652" s="1" t="s">
        <v>765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1281</v>
      </c>
      <c r="H653" s="1" t="s">
        <v>765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1282</v>
      </c>
      <c r="H654" s="1" t="s">
        <v>765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1283</v>
      </c>
      <c r="H655" s="1" t="s">
        <v>765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1284</v>
      </c>
      <c r="H656" s="1" t="s">
        <v>765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1285</v>
      </c>
      <c r="H657" s="1" t="s">
        <v>765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1286</v>
      </c>
      <c r="H658" s="1" t="s">
        <v>765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1287</v>
      </c>
      <c r="H659" s="1" t="s">
        <v>765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1288</v>
      </c>
      <c r="H660" s="1" t="s">
        <v>765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1289</v>
      </c>
      <c r="H661" s="1" t="s">
        <v>765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1290</v>
      </c>
      <c r="H662" s="1" t="s">
        <v>765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1291</v>
      </c>
      <c r="H663" s="1" t="s">
        <v>765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1292</v>
      </c>
      <c r="H664" s="1" t="s">
        <v>765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1293</v>
      </c>
      <c r="H665" s="1" t="s">
        <v>765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1294</v>
      </c>
      <c r="H666" s="1" t="s">
        <v>765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1295</v>
      </c>
      <c r="H667" s="1" t="s">
        <v>765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1296</v>
      </c>
      <c r="H668" s="1" t="s">
        <v>765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1297</v>
      </c>
      <c r="H669" s="1" t="s">
        <v>765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1298</v>
      </c>
      <c r="H670" s="1" t="s">
        <v>765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1299</v>
      </c>
      <c r="H671" s="1" t="s">
        <v>765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1300</v>
      </c>
      <c r="H672" s="1" t="s">
        <v>765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1301</v>
      </c>
      <c r="H673" s="1" t="s">
        <v>765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1302</v>
      </c>
      <c r="H674" s="1" t="s">
        <v>765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1303</v>
      </c>
      <c r="H675" s="1" t="s">
        <v>765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1304</v>
      </c>
      <c r="H676" s="1" t="s">
        <v>765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1305</v>
      </c>
      <c r="H677" s="1" t="s">
        <v>765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1306</v>
      </c>
      <c r="H678" s="1" t="s">
        <v>765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1307</v>
      </c>
      <c r="H679" s="1" t="s">
        <v>765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1308</v>
      </c>
      <c r="H680" s="1" t="s">
        <v>765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1309</v>
      </c>
      <c r="H681" s="1" t="s">
        <v>765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1310</v>
      </c>
      <c r="H682" s="1" t="s">
        <v>765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1311</v>
      </c>
      <c r="H683" s="1" t="s">
        <v>765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1312</v>
      </c>
      <c r="H684" s="1" t="s">
        <v>765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1313</v>
      </c>
      <c r="H685" s="1" t="s">
        <v>765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1314</v>
      </c>
      <c r="H686" s="1" t="s">
        <v>765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1315</v>
      </c>
      <c r="H687" s="1" t="s">
        <v>765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1316</v>
      </c>
      <c r="H688" s="1" t="s">
        <v>765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1317</v>
      </c>
      <c r="H689" s="1" t="s">
        <v>765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1318</v>
      </c>
      <c r="H690" s="1" t="s">
        <v>765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1319</v>
      </c>
      <c r="H691" s="1" t="s">
        <v>765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1320</v>
      </c>
      <c r="H692" s="1" t="s">
        <v>765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1321</v>
      </c>
      <c r="H693" s="1" t="s">
        <v>765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1322</v>
      </c>
      <c r="H694" s="1" t="s">
        <v>765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1323</v>
      </c>
      <c r="H695" s="1" t="s">
        <v>765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1324</v>
      </c>
      <c r="H696" s="1" t="s">
        <v>765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1325</v>
      </c>
      <c r="H697" s="1" t="s">
        <v>765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1326</v>
      </c>
      <c r="H698" s="1" t="s">
        <v>765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1327</v>
      </c>
      <c r="H699" s="1" t="s">
        <v>765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1328</v>
      </c>
      <c r="H700" s="1" t="s">
        <v>765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1329</v>
      </c>
      <c r="H701" s="1" t="s">
        <v>765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1330</v>
      </c>
      <c r="H702" s="1" t="s">
        <v>765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1331</v>
      </c>
      <c r="H703" s="1" t="s">
        <v>765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1332</v>
      </c>
      <c r="H704" s="1" t="s">
        <v>765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1333</v>
      </c>
      <c r="H705" s="1" t="s">
        <v>765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1334</v>
      </c>
      <c r="H706" s="1" t="s">
        <v>765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1335</v>
      </c>
      <c r="H707" s="1" t="s">
        <v>765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1336</v>
      </c>
      <c r="H708" s="1" t="s">
        <v>765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1337</v>
      </c>
      <c r="H709" s="1" t="s">
        <v>765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1338</v>
      </c>
      <c r="H710" s="1" t="s">
        <v>765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1339</v>
      </c>
      <c r="H711" s="1" t="s">
        <v>765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1340</v>
      </c>
      <c r="H712" s="1" t="s">
        <v>765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1341</v>
      </c>
      <c r="H713" s="1" t="s">
        <v>765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1342</v>
      </c>
      <c r="H714" s="1" t="s">
        <v>765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1343</v>
      </c>
      <c r="H715" s="1" t="s">
        <v>765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1344</v>
      </c>
      <c r="H716" s="1" t="s">
        <v>765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1345</v>
      </c>
      <c r="H717" s="1" t="s">
        <v>765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1346</v>
      </c>
      <c r="H718" s="1" t="s">
        <v>765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1347</v>
      </c>
      <c r="H719" s="1" t="s">
        <v>765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1348</v>
      </c>
      <c r="H720" s="1" t="s">
        <v>765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1349</v>
      </c>
      <c r="H721" s="1" t="s">
        <v>765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1350</v>
      </c>
      <c r="H722" s="1" t="s">
        <v>765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1351</v>
      </c>
      <c r="H723" s="1" t="s">
        <v>765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1352</v>
      </c>
      <c r="H724" s="1" t="s">
        <v>765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1353</v>
      </c>
      <c r="H725" s="1" t="s">
        <v>765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1354</v>
      </c>
      <c r="H726" s="1" t="s">
        <v>765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1355</v>
      </c>
      <c r="H727" s="1" t="s">
        <v>765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1356</v>
      </c>
      <c r="H728" s="1" t="s">
        <v>765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1357</v>
      </c>
      <c r="H729" s="1" t="s">
        <v>765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1358</v>
      </c>
      <c r="H730" s="1" t="s">
        <v>765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1359</v>
      </c>
      <c r="H731" s="1" t="s">
        <v>765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1360</v>
      </c>
      <c r="H732" s="1" t="s">
        <v>765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1361</v>
      </c>
      <c r="H733" s="1" t="s">
        <v>765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1362</v>
      </c>
      <c r="H734" s="1" t="s">
        <v>765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1363</v>
      </c>
      <c r="H735" s="1" t="s">
        <v>765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1364</v>
      </c>
      <c r="H736" s="1" t="s">
        <v>765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1365</v>
      </c>
      <c r="H737" s="1" t="s">
        <v>765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1366</v>
      </c>
      <c r="H738" s="1" t="s">
        <v>765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1367</v>
      </c>
      <c r="H739" s="1" t="s">
        <v>765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1368</v>
      </c>
      <c r="H740" s="1" t="s">
        <v>765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1369</v>
      </c>
      <c r="H741" s="1" t="s">
        <v>765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1370</v>
      </c>
      <c r="H742" s="1" t="s">
        <v>765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1371</v>
      </c>
      <c r="H743" s="1" t="s">
        <v>765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1372</v>
      </c>
      <c r="H744" s="1" t="s">
        <v>765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1373</v>
      </c>
      <c r="H745" s="1" t="s">
        <v>765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1374</v>
      </c>
      <c r="H746" s="1" t="s">
        <v>765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1375</v>
      </c>
      <c r="H747" s="1" t="s">
        <v>765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1376</v>
      </c>
      <c r="H748" s="1" t="s">
        <v>765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1377</v>
      </c>
      <c r="H749" s="1" t="s">
        <v>765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1378</v>
      </c>
      <c r="H750" s="1" t="s">
        <v>765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1379</v>
      </c>
      <c r="H751" s="1" t="s">
        <v>765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1380</v>
      </c>
      <c r="H752" s="1" t="s">
        <v>765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1381</v>
      </c>
      <c r="H753" s="1" t="s">
        <v>765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1382</v>
      </c>
      <c r="H754" s="1" t="s">
        <v>765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1383</v>
      </c>
      <c r="H755" s="1" t="s">
        <v>765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1384</v>
      </c>
      <c r="H756" s="1" t="s">
        <v>765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1385</v>
      </c>
      <c r="H757" s="1" t="s">
        <v>765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1386</v>
      </c>
      <c r="H758" s="1" t="s">
        <v>765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1387</v>
      </c>
      <c r="H759" s="1" t="s">
        <v>765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1388</v>
      </c>
      <c r="H760" s="1" t="s">
        <v>765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1389</v>
      </c>
      <c r="H761" s="1" t="s">
        <v>765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1390</v>
      </c>
      <c r="H762" s="1" t="s">
        <v>765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1391</v>
      </c>
      <c r="H763" s="1" t="s">
        <v>765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1392</v>
      </c>
      <c r="H764" s="1" t="s">
        <v>765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1393</v>
      </c>
      <c r="H765" s="1" t="s">
        <v>765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1394</v>
      </c>
      <c r="H766" s="1" t="s">
        <v>765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1395</v>
      </c>
      <c r="H767" s="1" t="s">
        <v>765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1396</v>
      </c>
      <c r="H768" s="1" t="s">
        <v>765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1397</v>
      </c>
      <c r="H769" s="1" t="s">
        <v>765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1398</v>
      </c>
      <c r="H770" s="1" t="s">
        <v>765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1399</v>
      </c>
      <c r="H771" s="1" t="s">
        <v>765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1400</v>
      </c>
      <c r="H772" s="1" t="s">
        <v>765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1401</v>
      </c>
      <c r="H773" s="1" t="s">
        <v>765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1402</v>
      </c>
      <c r="H774" s="1" t="s">
        <v>765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1403</v>
      </c>
      <c r="H775" s="1" t="s">
        <v>765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1404</v>
      </c>
      <c r="H776" s="1" t="s">
        <v>765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1405</v>
      </c>
      <c r="H777" s="1" t="s">
        <v>765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1406</v>
      </c>
      <c r="H778" s="1" t="s">
        <v>765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1407</v>
      </c>
      <c r="H779" s="1" t="s">
        <v>765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1408</v>
      </c>
      <c r="H780" s="1" t="s">
        <v>765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1409</v>
      </c>
      <c r="H781" s="1" t="s">
        <v>765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1410</v>
      </c>
      <c r="H782" s="1" t="s">
        <v>765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1411</v>
      </c>
      <c r="H783" s="1" t="s">
        <v>765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1412</v>
      </c>
      <c r="H784" s="1" t="s">
        <v>765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1413</v>
      </c>
      <c r="H785" s="1" t="s">
        <v>765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1414</v>
      </c>
      <c r="H786" s="1" t="s">
        <v>765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1415</v>
      </c>
      <c r="H787" s="1" t="s">
        <v>765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1416</v>
      </c>
      <c r="H788" s="1" t="s">
        <v>765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1417</v>
      </c>
      <c r="H789" s="1" t="s">
        <v>765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1418</v>
      </c>
      <c r="H790" s="1" t="s">
        <v>765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1419</v>
      </c>
      <c r="H791" s="1" t="s">
        <v>765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1420</v>
      </c>
      <c r="H792" s="1" t="s">
        <v>765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1421</v>
      </c>
      <c r="H793" s="1" t="s">
        <v>765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1422</v>
      </c>
      <c r="H794" s="1" t="s">
        <v>765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1423</v>
      </c>
      <c r="H795" s="1" t="s">
        <v>765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1424</v>
      </c>
      <c r="H796" s="1" t="s">
        <v>765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1425</v>
      </c>
      <c r="H797" s="1" t="s">
        <v>765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1426</v>
      </c>
      <c r="H798" s="1" t="s">
        <v>765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1427</v>
      </c>
      <c r="H799" s="1" t="s">
        <v>765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1428</v>
      </c>
      <c r="H800" s="1" t="s">
        <v>765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1429</v>
      </c>
      <c r="H801" s="1" t="s">
        <v>765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1430</v>
      </c>
      <c r="H802" s="1" t="s">
        <v>765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1431</v>
      </c>
      <c r="H803" s="1" t="s">
        <v>765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1432</v>
      </c>
      <c r="H804" s="1" t="s">
        <v>765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1433</v>
      </c>
      <c r="H805" s="1" t="s">
        <v>765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1434</v>
      </c>
      <c r="H806" s="1" t="s">
        <v>765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1435</v>
      </c>
      <c r="H807" s="1" t="s">
        <v>765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1436</v>
      </c>
      <c r="H808" s="1" t="s">
        <v>765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1437</v>
      </c>
      <c r="H809" s="1" t="s">
        <v>765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1438</v>
      </c>
      <c r="H810" s="1" t="s">
        <v>765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1439</v>
      </c>
      <c r="H811" s="1" t="s">
        <v>765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1440</v>
      </c>
      <c r="H812" s="1" t="s">
        <v>765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1441</v>
      </c>
      <c r="H813" s="1" t="s">
        <v>765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1442</v>
      </c>
      <c r="H814" s="1" t="s">
        <v>765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1443</v>
      </c>
      <c r="H815" s="1" t="s">
        <v>765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1444</v>
      </c>
      <c r="H816" s="1" t="s">
        <v>765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1445</v>
      </c>
      <c r="H817" s="1" t="s">
        <v>765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1446</v>
      </c>
      <c r="H818" s="1" t="s">
        <v>765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1447</v>
      </c>
      <c r="H819" s="1" t="s">
        <v>765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1448</v>
      </c>
      <c r="H820" s="1" t="s">
        <v>765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1449</v>
      </c>
      <c r="H821" s="1" t="s">
        <v>765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1450</v>
      </c>
      <c r="H822" s="1" t="s">
        <v>765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1451</v>
      </c>
      <c r="H823" s="1" t="s">
        <v>765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1452</v>
      </c>
      <c r="H824" s="1" t="s">
        <v>765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1453</v>
      </c>
      <c r="H825" s="1" t="s">
        <v>765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1454</v>
      </c>
      <c r="H826" s="1" t="s">
        <v>765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1455</v>
      </c>
      <c r="H827" s="1" t="s">
        <v>765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1456</v>
      </c>
      <c r="H828" s="1" t="s">
        <v>765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1457</v>
      </c>
      <c r="H829" s="1" t="s">
        <v>765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1458</v>
      </c>
      <c r="H830" s="1" t="s">
        <v>765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1459</v>
      </c>
      <c r="H831" s="1" t="s">
        <v>765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1460</v>
      </c>
      <c r="H832" s="1" t="s">
        <v>765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1461</v>
      </c>
      <c r="H833" s="1" t="s">
        <v>765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1462</v>
      </c>
      <c r="H834" s="1" t="s">
        <v>765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1463</v>
      </c>
      <c r="H835" s="1" t="s">
        <v>765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1464</v>
      </c>
      <c r="H836" s="1" t="s">
        <v>765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1465</v>
      </c>
      <c r="H837" s="1" t="s">
        <v>765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1466</v>
      </c>
      <c r="H838" s="1" t="s">
        <v>765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1467</v>
      </c>
      <c r="H839" s="1" t="s">
        <v>765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1468</v>
      </c>
      <c r="H840" s="1" t="s">
        <v>765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1469</v>
      </c>
      <c r="H841" s="1" t="s">
        <v>765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1470</v>
      </c>
      <c r="H842" s="1" t="s">
        <v>765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1471</v>
      </c>
      <c r="H843" s="1" t="s">
        <v>765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1472</v>
      </c>
      <c r="H844" s="1" t="s">
        <v>765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1473</v>
      </c>
      <c r="H845" s="1" t="s">
        <v>765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1474</v>
      </c>
      <c r="H846" s="1" t="s">
        <v>765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1475</v>
      </c>
      <c r="H847" s="1" t="s">
        <v>765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1476</v>
      </c>
      <c r="H848" s="1" t="s">
        <v>765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1477</v>
      </c>
      <c r="H849" s="1" t="s">
        <v>765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1478</v>
      </c>
      <c r="H850" s="1" t="s">
        <v>765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1479</v>
      </c>
      <c r="H851" s="1" t="s">
        <v>765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1480</v>
      </c>
      <c r="H852" s="1" t="s">
        <v>765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1481</v>
      </c>
      <c r="H853" s="1" t="s">
        <v>765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1482</v>
      </c>
      <c r="H854" s="1" t="s">
        <v>765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1483</v>
      </c>
      <c r="H855" s="1" t="s">
        <v>765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1484</v>
      </c>
      <c r="H856" s="1" t="s">
        <v>765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1485</v>
      </c>
      <c r="H857" s="1" t="s">
        <v>765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1486</v>
      </c>
      <c r="H858" s="1" t="s">
        <v>765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1487</v>
      </c>
      <c r="H859" s="1" t="s">
        <v>765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1488</v>
      </c>
      <c r="H860" s="1" t="s">
        <v>765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1489</v>
      </c>
      <c r="H861" s="1" t="s">
        <v>765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1490</v>
      </c>
      <c r="H862" s="1" t="s">
        <v>765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1491</v>
      </c>
      <c r="H863" s="1" t="s">
        <v>765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1492</v>
      </c>
      <c r="H864" s="1" t="s">
        <v>765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1493</v>
      </c>
      <c r="H865" s="1" t="s">
        <v>765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1494</v>
      </c>
      <c r="H866" s="1" t="s">
        <v>765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1495</v>
      </c>
      <c r="H867" s="1" t="s">
        <v>765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1496</v>
      </c>
      <c r="H868" s="1" t="s">
        <v>765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1497</v>
      </c>
      <c r="H869" s="1" t="s">
        <v>765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1498</v>
      </c>
      <c r="H870" s="1" t="s">
        <v>765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1499</v>
      </c>
      <c r="H871" s="1" t="s">
        <v>765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1500</v>
      </c>
      <c r="H872" s="1" t="s">
        <v>765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1501</v>
      </c>
      <c r="H873" s="1" t="s">
        <v>765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1502</v>
      </c>
      <c r="H874" s="1" t="s">
        <v>765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1503</v>
      </c>
      <c r="H875" s="1" t="s">
        <v>765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1504</v>
      </c>
      <c r="H876" s="1" t="s">
        <v>765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1505</v>
      </c>
      <c r="H877" s="1" t="s">
        <v>765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1506</v>
      </c>
      <c r="H878" s="1" t="s">
        <v>765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1507</v>
      </c>
      <c r="H879" s="1" t="s">
        <v>765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1508</v>
      </c>
      <c r="H880" s="1" t="s">
        <v>765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1509</v>
      </c>
      <c r="H881" s="1" t="s">
        <v>765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1510</v>
      </c>
      <c r="H882" s="1" t="s">
        <v>765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1511</v>
      </c>
      <c r="H883" s="1" t="s">
        <v>765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1512</v>
      </c>
      <c r="H884" s="1" t="s">
        <v>765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1513</v>
      </c>
      <c r="H885" s="1" t="s">
        <v>765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1514</v>
      </c>
      <c r="H886" s="1" t="s">
        <v>765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1515</v>
      </c>
      <c r="H887" s="1" t="s">
        <v>765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1516</v>
      </c>
      <c r="H888" s="1" t="s">
        <v>765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1517</v>
      </c>
      <c r="H889" s="1" t="s">
        <v>765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1518</v>
      </c>
      <c r="H890" s="1" t="s">
        <v>765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1519</v>
      </c>
      <c r="H891" s="1" t="s">
        <v>765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1520</v>
      </c>
      <c r="H892" s="1" t="s">
        <v>765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1521</v>
      </c>
      <c r="H893" s="1" t="s">
        <v>765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1522</v>
      </c>
      <c r="H894" s="1" t="s">
        <v>765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1523</v>
      </c>
      <c r="H895" s="1" t="s">
        <v>765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1524</v>
      </c>
      <c r="H896" s="1" t="s">
        <v>765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1525</v>
      </c>
      <c r="H897" s="1" t="s">
        <v>765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1526</v>
      </c>
      <c r="H898" s="1" t="s">
        <v>765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1527</v>
      </c>
      <c r="H899" s="1" t="s">
        <v>765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1528</v>
      </c>
      <c r="H900" s="1" t="s">
        <v>765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1529</v>
      </c>
      <c r="H901" s="1" t="s">
        <v>765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1530</v>
      </c>
      <c r="H902" s="1" t="s">
        <v>765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1531</v>
      </c>
      <c r="H903" s="1" t="s">
        <v>765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1532</v>
      </c>
      <c r="H904" s="1" t="s">
        <v>765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1533</v>
      </c>
      <c r="H905" s="1" t="s">
        <v>765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1534</v>
      </c>
      <c r="H906" s="1" t="s">
        <v>765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1535</v>
      </c>
      <c r="H907" s="1" t="s">
        <v>765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1536</v>
      </c>
      <c r="H908" s="1" t="s">
        <v>765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1537</v>
      </c>
      <c r="H909" s="1" t="s">
        <v>765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1538</v>
      </c>
      <c r="H910" s="1" t="s">
        <v>765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1539</v>
      </c>
      <c r="H911" s="1" t="s">
        <v>765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1540</v>
      </c>
      <c r="H912" s="1" t="s">
        <v>765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1541</v>
      </c>
      <c r="H913" s="1" t="s">
        <v>765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1542</v>
      </c>
      <c r="H914" s="1" t="s">
        <v>765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1543</v>
      </c>
      <c r="H915" s="1" t="s">
        <v>765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1544</v>
      </c>
      <c r="H916" s="1" t="s">
        <v>765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1545</v>
      </c>
      <c r="H917" s="1" t="s">
        <v>765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1546</v>
      </c>
      <c r="H918" s="1" t="s">
        <v>765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1547</v>
      </c>
      <c r="H919" s="1" t="s">
        <v>765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1548</v>
      </c>
      <c r="H920" s="1" t="s">
        <v>765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1549</v>
      </c>
      <c r="H921" s="1" t="s">
        <v>765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1550</v>
      </c>
      <c r="H922" s="1" t="s">
        <v>765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1551</v>
      </c>
      <c r="H923" s="1" t="s">
        <v>765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1552</v>
      </c>
      <c r="H924" s="1" t="s">
        <v>765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1553</v>
      </c>
      <c r="H925" s="1" t="s">
        <v>765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1554</v>
      </c>
      <c r="H926" s="1" t="s">
        <v>765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1555</v>
      </c>
      <c r="H927" s="1" t="s">
        <v>765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1556</v>
      </c>
      <c r="H928" s="1" t="s">
        <v>765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1557</v>
      </c>
      <c r="H929" s="1" t="s">
        <v>765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1558</v>
      </c>
      <c r="H930" s="1" t="s">
        <v>765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1559</v>
      </c>
      <c r="H931" s="1" t="s">
        <v>765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1560</v>
      </c>
      <c r="H932" s="1" t="s">
        <v>765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1561</v>
      </c>
      <c r="H933" s="1" t="s">
        <v>765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1562</v>
      </c>
      <c r="H934" s="1" t="s">
        <v>765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1563</v>
      </c>
      <c r="H935" s="1" t="s">
        <v>765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1564</v>
      </c>
      <c r="H936" s="1" t="s">
        <v>765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1565</v>
      </c>
      <c r="H937" s="1" t="s">
        <v>765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1566</v>
      </c>
      <c r="H938" s="1" t="s">
        <v>765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1567</v>
      </c>
      <c r="H939" s="1" t="s">
        <v>765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1568</v>
      </c>
      <c r="H940" s="1" t="s">
        <v>765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1569</v>
      </c>
      <c r="H941" s="1" t="s">
        <v>765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1570</v>
      </c>
      <c r="H942" s="1" t="s">
        <v>765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1571</v>
      </c>
      <c r="H943" s="1" t="s">
        <v>765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1572</v>
      </c>
      <c r="H944" s="1" t="s">
        <v>765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1573</v>
      </c>
      <c r="H945" s="1" t="s">
        <v>765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1574</v>
      </c>
      <c r="H946" s="1" t="s">
        <v>765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1575</v>
      </c>
      <c r="H947" s="1" t="s">
        <v>765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1576</v>
      </c>
      <c r="H948" s="1" t="s">
        <v>765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1577</v>
      </c>
      <c r="H949" s="1" t="s">
        <v>765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1578</v>
      </c>
      <c r="H950" s="1" t="s">
        <v>765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1579</v>
      </c>
      <c r="H951" s="1" t="s">
        <v>765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1580</v>
      </c>
      <c r="H952" s="1" t="s">
        <v>765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1581</v>
      </c>
      <c r="H953" s="1" t="s">
        <v>765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1582</v>
      </c>
      <c r="H954" s="1" t="s">
        <v>765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1583</v>
      </c>
      <c r="H955" s="1" t="s">
        <v>765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1584</v>
      </c>
      <c r="H956" s="1" t="s">
        <v>765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1585</v>
      </c>
      <c r="H957" s="1" t="s">
        <v>765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1586</v>
      </c>
      <c r="H958" s="1" t="s">
        <v>765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1587</v>
      </c>
      <c r="H959" s="1" t="s">
        <v>765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1588</v>
      </c>
      <c r="H960" s="1" t="s">
        <v>765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1589</v>
      </c>
      <c r="H961" s="1" t="s">
        <v>765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1590</v>
      </c>
      <c r="H962" s="1" t="s">
        <v>765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1591</v>
      </c>
      <c r="H963" s="1" t="s">
        <v>765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1592</v>
      </c>
      <c r="H964" s="1" t="s">
        <v>765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1593</v>
      </c>
      <c r="H965" s="1" t="s">
        <v>765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1594</v>
      </c>
      <c r="H966" s="1" t="s">
        <v>765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1595</v>
      </c>
      <c r="H967" s="1" t="s">
        <v>765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1596</v>
      </c>
      <c r="H968" s="1" t="s">
        <v>765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1597</v>
      </c>
      <c r="H969" s="1" t="s">
        <v>765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1598</v>
      </c>
      <c r="H970" s="1" t="s">
        <v>765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1599</v>
      </c>
      <c r="H971" s="1" t="s">
        <v>765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1600</v>
      </c>
      <c r="H972" s="1" t="s">
        <v>765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1601</v>
      </c>
      <c r="H973" s="1" t="s">
        <v>765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1602</v>
      </c>
      <c r="H974" s="1" t="s">
        <v>765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1603</v>
      </c>
      <c r="H975" s="1" t="s">
        <v>765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1604</v>
      </c>
      <c r="H976" s="1" t="s">
        <v>765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1605</v>
      </c>
      <c r="H977" s="1" t="s">
        <v>765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1606</v>
      </c>
      <c r="H978" s="1" t="s">
        <v>765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1607</v>
      </c>
      <c r="H979" s="1" t="s">
        <v>765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1608</v>
      </c>
      <c r="H980" s="1" t="s">
        <v>765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1609</v>
      </c>
      <c r="H981" s="1" t="s">
        <v>765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1610</v>
      </c>
      <c r="H982" s="1" t="s">
        <v>765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1611</v>
      </c>
      <c r="H983" s="1" t="s">
        <v>765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1612</v>
      </c>
      <c r="H984" s="1" t="s">
        <v>765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1613</v>
      </c>
      <c r="H985" s="1" t="s">
        <v>765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1614</v>
      </c>
      <c r="H986" s="1" t="s">
        <v>765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1615</v>
      </c>
      <c r="H987" s="1" t="s">
        <v>765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1616</v>
      </c>
      <c r="H988" s="1" t="s">
        <v>765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1617</v>
      </c>
      <c r="H989" s="1" t="s">
        <v>765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1618</v>
      </c>
      <c r="H990" s="1" t="s">
        <v>765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1619</v>
      </c>
      <c r="H991" s="1" t="s">
        <v>765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1620</v>
      </c>
      <c r="H992" s="1" t="s">
        <v>765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1621</v>
      </c>
      <c r="H993" s="1" t="s">
        <v>765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1622</v>
      </c>
      <c r="H994" s="1" t="s">
        <v>765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1623</v>
      </c>
      <c r="H995" s="1" t="s">
        <v>765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1624</v>
      </c>
      <c r="H996" s="1" t="s">
        <v>765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1625</v>
      </c>
      <c r="H997" s="1" t="s">
        <v>765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1626</v>
      </c>
      <c r="H998" s="1" t="s">
        <v>765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AM10:AM999 P10:P997 M10:N997 R10:R997 I10:K997 AB10:AI997 AP10:AU997 AL10:AL997 AN10:AN997 T10:Z997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  <hyperlink ref="E60" r:id="rId62" xr:uid="{9A322382-3983-40D9-A686-D8BB9A2CA314}"/>
    <hyperlink ref="E62" r:id="rId63" xr:uid="{82388467-3C73-407C-B164-7EA34CE091CC}"/>
    <hyperlink ref="E63" r:id="rId64" xr:uid="{D2369C68-AC2F-4138-85F2-3C9814C0339C}"/>
  </hyperlinks>
  <pageMargins left="0.7" right="0.7" top="0.78740157499999996" bottom="0.78740157499999996" header="0.3" footer="0.3"/>
  <pageSetup paperSize="9" orientation="portrait" r:id="rId65"/>
  <legacyDrawing r:id="rId6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553</v>
      </c>
      <c r="B1" s="9" t="s">
        <v>556</v>
      </c>
      <c r="C1" s="9" t="s">
        <v>548</v>
      </c>
      <c r="D1" s="9" t="s">
        <v>549</v>
      </c>
      <c r="E1" s="9" t="s">
        <v>550</v>
      </c>
      <c r="F1" s="9" t="s">
        <v>551</v>
      </c>
      <c r="G1" s="9" t="s">
        <v>681</v>
      </c>
      <c r="H1" s="9" t="s">
        <v>552</v>
      </c>
      <c r="I1" s="9" t="s">
        <v>1749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>P52</v>
      </c>
      <c r="B51" s="1" t="str">
        <f>IF(AND(Programme_Grunddaten!$A59="Geprüft",Programme_Grunddaten!C59&lt;&gt;""),Programme_Grunddaten!C59,"")</f>
        <v>TimeTrack</v>
      </c>
      <c r="C51" s="1" t="str">
        <f>IF(AND(Programme_Grunddaten!$A59="Geprüft",Programme_Grunddaten!D59&lt;&gt;""),Programme_Grunddaten!D59,"")</f>
        <v>TimeTrack GmbH</v>
      </c>
      <c r="D51" s="2" t="str">
        <f>IF(AND(Programme_Grunddaten!$A59="Geprüft",Programme_Grunddaten!E59&lt;&gt;""),Programme_Grunddaten!E59,"")</f>
        <v>https://www.timetrackapp.com/</v>
      </c>
      <c r="E51" t="str">
        <f>IF(AND(Programme_Grunddaten!$A59="Geprüft",Programme_Grunddaten!G59&lt;&gt;""),Programme_Grunddaten!G59,"")</f>
        <v>Zeiterfassung und Personaleinsatzplanung</v>
      </c>
      <c r="F51" t="str">
        <f>IF(AND(Programme_Grunddaten!$A59="Geprüft",Programme_Grunddaten!F59&lt;&gt;""),Programme_Grunddaten!F59,"")</f>
        <v>mittelständige und große Unternehmen</v>
      </c>
      <c r="G51" s="3" t="str">
        <f>IF(AND(Programme_Grunddaten!$A59="Geprüft",Programme_Grunddaten!S59&lt;&gt;""),Programme_Grunddaten!S59,"")</f>
        <v>Smartphone, Tablet, PC, Terminal</v>
      </c>
      <c r="H51" t="str">
        <f>IF(AND(Programme_Grunddaten!$A59="Geprüft",Programme_Grunddaten!AW59&lt;&gt;""),Programme_Grunddaten!AW59,"")</f>
        <v>rechtskonforme Reisekostenabrechnung möglich, über Web oder als Lokale Lösung verfügbar, Standorterfassung bei Buchung möglich</v>
      </c>
      <c r="I51" t="str">
        <f>IF(AND(Programme_Grunddaten!$A59="Geprüft",Programme_Grunddaten!AX59&lt;&gt;""),Programme_Grunddaten!AX59,"")</f>
        <v>Basismodell: 5 € / Nutzer / Monat, kostenlose Version für einen Einzelzugang</v>
      </c>
    </row>
    <row r="52" spans="1:9" x14ac:dyDescent="0.3">
      <c r="A52" s="1" t="str">
        <f>IF(AND(Programme_Grunddaten!$A60="Geprüft",Programme_Grunddaten!B60&lt;&gt;""),Programme_Grunddaten!B60,"")</f>
        <v>P53</v>
      </c>
      <c r="B52" s="1" t="str">
        <f>IF(AND(Programme_Grunddaten!$A60="Geprüft",Programme_Grunddaten!C60&lt;&gt;""),Programme_Grunddaten!C60,"")</f>
        <v>123erfasst</v>
      </c>
      <c r="C52" s="1" t="str">
        <f>IF(AND(Programme_Grunddaten!$A60="Geprüft",Programme_Grunddaten!D60&lt;&gt;""),Programme_Grunddaten!D60,"")</f>
        <v>123erfasst.de GmbH, Unternehmen der NEVARIS Bausoftware GmbH</v>
      </c>
      <c r="D52" s="2" t="str">
        <f>IF(AND(Programme_Grunddaten!$A60="Geprüft",Programme_Grunddaten!E60&lt;&gt;""),Programme_Grunddaten!E60,"")</f>
        <v>https://123erfasst.de/personal/</v>
      </c>
      <c r="E52" t="str">
        <f>IF(AND(Programme_Grunddaten!$A60="Geprüft",Programme_Grunddaten!G60&lt;&gt;""),Programme_Grunddaten!G60,"")</f>
        <v>digitale Zeiterfassung und Personalmanagement</v>
      </c>
      <c r="F52" t="str">
        <f>IF(AND(Programme_Grunddaten!$A60="Geprüft",Programme_Grunddaten!F60&lt;&gt;""),Programme_Grunddaten!F60,"")</f>
        <v>Handwerker, Bauunternehmen</v>
      </c>
      <c r="G52" s="3" t="str">
        <f>IF(AND(Programme_Grunddaten!$A60="Geprüft",Programme_Grunddaten!S60&lt;&gt;""),Programme_Grunddaten!S60,"")</f>
        <v>Smartphone, Tablet</v>
      </c>
      <c r="H52" t="str">
        <f>IF(AND(Programme_Grunddaten!$A60="Geprüft",Programme_Grunddaten!AW60&lt;&gt;""),Programme_Grunddaten!AW60,"")</f>
        <v>Standort kann bei Bedarf bei Stempelung mit erfasst werden, Führung eines Bautagebuchs möcglich mit Dokumentation von Leistungen, Zeiten, Kommentaren und Fotos</v>
      </c>
      <c r="I52" t="str">
        <f>IF(AND(Programme_Grunddaten!$A60="Geprüft",Programme_Grunddaten!AX60&lt;&gt;""),Programme_Grunddaten!AX60,"")</f>
        <v>bis zu 10 Nutzer kostenlos, Standard: 8,40 € / Nutzer / Monat</v>
      </c>
    </row>
    <row r="53" spans="1:9" x14ac:dyDescent="0.3">
      <c r="A53" s="1" t="str">
        <f>IF(AND(Programme_Grunddaten!$A61="Geprüft",Programme_Grunddaten!B61&lt;&gt;""),Programme_Grunddaten!B61,"")</f>
        <v>P54</v>
      </c>
      <c r="B53" s="1" t="str">
        <f>IF(AND(Programme_Grunddaten!$A61="Geprüft",Programme_Grunddaten!C61&lt;&gt;""),Programme_Grunddaten!C61,"")</f>
        <v>clockify</v>
      </c>
      <c r="C53" s="1" t="str">
        <f>IF(AND(Programme_Grunddaten!$A61="Geprüft",Programme_Grunddaten!D61&lt;&gt;""),Programme_Grunddaten!D61,"")</f>
        <v>CAKE.com Inc.</v>
      </c>
      <c r="D53" s="2" t="str">
        <f>IF(AND(Programme_Grunddaten!$A61="Geprüft",Programme_Grunddaten!E61&lt;&gt;""),Programme_Grunddaten!E61,"")</f>
        <v>https://clockify.me/de/</v>
      </c>
      <c r="E53" t="str">
        <f>IF(AND(Programme_Grunddaten!$A61="Geprüft",Programme_Grunddaten!G61&lt;&gt;""),Programme_Grunddaten!G61,"")</f>
        <v>Zeiterfassungs - und Arbetistabellenapp</v>
      </c>
      <c r="F53" t="str">
        <f>IF(AND(Programme_Grunddaten!$A61="Geprüft",Programme_Grunddaten!F61&lt;&gt;""),Programme_Grunddaten!F61,"")</f>
        <v>alle Branchen</v>
      </c>
      <c r="G53" s="3" t="str">
        <f>IF(AND(Programme_Grunddaten!$A61="Geprüft",Programme_Grunddaten!S61&lt;&gt;""),Programme_Grunddaten!S61,"")</f>
        <v>App für Smartphone und Desktop</v>
      </c>
      <c r="H53" t="str">
        <f>IF(AND(Programme_Grunddaten!$A61="Geprüft",Programme_Grunddaten!AW61&lt;&gt;""),Programme_Grunddaten!AW61,"")</f>
        <v>Auto-Tracker: besuchte Apps und Webseiten können während der Arbeitszeit dokumentiert werden, GPS Verfolgung während der Arbeitszeit möglich</v>
      </c>
      <c r="I53" t="str">
        <f>IF(AND(Programme_Grunddaten!$A61="Geprüft",Programme_Grunddaten!AX61&lt;&gt;""),Programme_Grunddaten!AX61,"")</f>
        <v xml:space="preserve">bis 5 Nutzer kostenlos, </v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>P57</v>
      </c>
      <c r="B56" s="1" t="str">
        <f>IF(AND(Programme_Grunddaten!$A64="Geprüft",Programme_Grunddaten!C64&lt;&gt;""),Programme_Grunddaten!C64,"")</f>
        <v>harvest</v>
      </c>
      <c r="C56" s="1" t="str">
        <f>IF(AND(Programme_Grunddaten!$A64="Geprüft",Programme_Grunddaten!D64&lt;&gt;""),Programme_Grunddaten!D64,"")</f>
        <v>Bending Spoons US Inc.</v>
      </c>
      <c r="D56" s="2" t="str">
        <f>IF(AND(Programme_Grunddaten!$A64="Geprüft",Programme_Grunddaten!E64&lt;&gt;""),Programme_Grunddaten!E64,"")</f>
        <v>https://www.getharvest.com/</v>
      </c>
      <c r="E56" t="str">
        <f>IF(AND(Programme_Grunddaten!$A64="Geprüft",Programme_Grunddaten!G64&lt;&gt;""),Programme_Grunddaten!G64,"")</f>
        <v>Zeiterfassung und Verwaltung von Arbeitskräften</v>
      </c>
      <c r="F56" t="str">
        <f>IF(AND(Programme_Grunddaten!$A64="Geprüft",Programme_Grunddaten!F64&lt;&gt;""),Programme_Grunddaten!F64,"")</f>
        <v>Landwirtschaft</v>
      </c>
      <c r="G56" s="3" t="str">
        <f>IF(AND(Programme_Grunddaten!$A64="Geprüft",Programme_Grunddaten!S64&lt;&gt;""),Programme_Grunddaten!S64,"")</f>
        <v>Mobilgerät, Desktop, Browser</v>
      </c>
      <c r="H56" t="str">
        <f>IF(AND(Programme_Grunddaten!$A64="Geprüft",Programme_Grunddaten!AW64&lt;&gt;""),Programme_Grunddaten!AW64,"")</f>
        <v>GPS-Tracking möglich</v>
      </c>
      <c r="I56" t="str">
        <f>IF(AND(Programme_Grunddaten!$A64="Geprüft",Programme_Grunddaten!AX64&lt;&gt;""),Programme_Grunddaten!AX64,"")</f>
        <v>kostenlose Version für einen Einzelzugang</v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C11" sqref="AC11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553</v>
      </c>
      <c r="B1" s="6" t="s">
        <v>399</v>
      </c>
      <c r="C1" s="6" t="s">
        <v>400</v>
      </c>
      <c r="D1" s="6" t="s">
        <v>519</v>
      </c>
      <c r="E1" s="6" t="s">
        <v>538</v>
      </c>
      <c r="F1" s="6" t="s">
        <v>401</v>
      </c>
      <c r="G1" s="6" t="s">
        <v>402</v>
      </c>
      <c r="H1" s="6" t="s">
        <v>520</v>
      </c>
      <c r="I1" s="6" t="s">
        <v>521</v>
      </c>
      <c r="J1" s="6" t="s">
        <v>403</v>
      </c>
      <c r="K1" s="6" t="s">
        <v>539</v>
      </c>
      <c r="L1" s="6" t="s">
        <v>522</v>
      </c>
      <c r="M1" s="6" t="s">
        <v>523</v>
      </c>
      <c r="N1" s="6" t="s">
        <v>540</v>
      </c>
      <c r="O1" s="6" t="s">
        <v>405</v>
      </c>
      <c r="P1" s="6" t="s">
        <v>406</v>
      </c>
      <c r="Q1" s="6" t="s">
        <v>524</v>
      </c>
      <c r="R1" s="6" t="s">
        <v>525</v>
      </c>
      <c r="S1" s="6" t="s">
        <v>407</v>
      </c>
      <c r="T1" s="6" t="s">
        <v>408</v>
      </c>
      <c r="U1" s="6" t="s">
        <v>547</v>
      </c>
      <c r="V1" s="6" t="s">
        <v>546</v>
      </c>
      <c r="W1" s="6" t="s">
        <v>545</v>
      </c>
      <c r="X1" s="6" t="s">
        <v>544</v>
      </c>
      <c r="Y1" s="6" t="s">
        <v>543</v>
      </c>
      <c r="Z1" s="6" t="s">
        <v>542</v>
      </c>
      <c r="AA1" s="6" t="s">
        <v>541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1752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>
        <f>IF(AND(Programme_Grunddaten!$A58="Geprüft",Programme_Grunddaten!Z58&lt;&gt;""),IF(Programme_Grunddaten!Z58="Ja",1,0),"")</f>
        <v>0</v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>P52</v>
      </c>
      <c r="B51" s="1">
        <f>IF(AND(Programme_Grunddaten!$A59="Geprüft",Programme_Grunddaten!I59&lt;&gt;""),IF(Programme_Grunddaten!I59="Ja",1,0),"")</f>
        <v>0</v>
      </c>
      <c r="C51" s="1">
        <f>IF(AND(Programme_Grunddaten!$A59="Geprüft",Programme_Grunddaten!J59&lt;&gt;""),IF(Programme_Grunddaten!J59="Ja",1,0),"")</f>
        <v>1</v>
      </c>
      <c r="D51" s="1">
        <f>IF(AND(Programme_Grunddaten!$A59="Geprüft",Programme_Grunddaten!K59&lt;&gt;""),IF(Programme_Grunddaten!K59="Ja",1,0),"")</f>
        <v>1</v>
      </c>
      <c r="E51" s="1">
        <f>IF(AND(Programme_Grunddaten!$A59="Geprüft",Programme_Grunddaten!L59&lt;&gt;""),IF(Programme_Grunddaten!L59="Abo / befristete Lizenz",1,0),"")</f>
        <v>1</v>
      </c>
      <c r="F51" s="1">
        <f>IF(AND(Programme_Grunddaten!$A59="Geprüft",Programme_Grunddaten!M59&lt;&gt;""),IF(Programme_Grunddaten!M59="Ja",1,0),"")</f>
        <v>1</v>
      </c>
      <c r="G51" s="1">
        <f>IF(AND(Programme_Grunddaten!$A59="Geprüft",Programme_Grunddaten!N59&lt;&gt;""),IF(Programme_Grunddaten!N59="Ja",1,0),"")</f>
        <v>1</v>
      </c>
      <c r="H51" s="1" t="str">
        <f>IF(AND(Programme_Grunddaten!$A59="Geprüft",Programme_Grunddaten!O59&lt;&gt;""),IF(Programme_Grunddaten!O59="Deutschland",0,IF(Programme_Grunddaten!O59="EU",1,2)),"")</f>
        <v/>
      </c>
      <c r="I51" s="1">
        <f>IF(AND(Programme_Grunddaten!$A59="Geprüft",Programme_Grunddaten!P59&lt;&gt;""),IF(Programme_Grunddaten!P59="Ja",1,0),"")</f>
        <v>1</v>
      </c>
      <c r="J51" s="1">
        <f>IF(AND(Programme_Grunddaten!$A59="Geprüft",Programme_Grunddaten!Q59&lt;&gt;""),IF(Programme_Grunddaten!Q59="geschlossenes System",1,0),"")</f>
        <v>0</v>
      </c>
      <c r="K51" s="1">
        <f>IF(AND(Programme_Grunddaten!$A59="Geprüft",Programme_Grunddaten!R59&lt;&gt;""),IF(Programme_Grunddaten!R59="Ja",1,0),"")</f>
        <v>1</v>
      </c>
      <c r="L51" s="1">
        <f>IF(AND(Programme_Grunddaten!$A59="Geprüft",Programme_Grunddaten!T59&lt;&gt;""),IF(Programme_Grunddaten!T59="Ja",1,0),"")</f>
        <v>1</v>
      </c>
      <c r="M51" s="1">
        <f>IF(AND(Programme_Grunddaten!$A59="Geprüft",Programme_Grunddaten!U59&lt;&gt;""),IF(Programme_Grunddaten!U59="Ja",1,0),"")</f>
        <v>1</v>
      </c>
      <c r="N51" s="1">
        <f>IF(AND(Programme_Grunddaten!$A59="Geprüft",Programme_Grunddaten!V59&lt;&gt;""),IF(Programme_Grunddaten!V59="Ja",1,0),"")</f>
        <v>1</v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>
        <f>IF(AND(Programme_Grunddaten!$A59="Geprüft",Programme_Grunddaten!Y59&lt;&gt;""),IF(Programme_Grunddaten!Y59="Ja",1,0),"")</f>
        <v>0</v>
      </c>
      <c r="R51" s="1">
        <f>IF(AND(Programme_Grunddaten!$A59="Geprüft",Programme_Grunddaten!Z59&lt;&gt;""),IF(Programme_Grunddaten!Z59="Ja",1,0),"")</f>
        <v>0</v>
      </c>
      <c r="S51" s="1">
        <f>IF(AND(Programme_Grunddaten!$A59="Geprüft",Programme_Grunddaten!AA59&lt;&gt;""),IF(Programme_Grunddaten!AA59="monolithisch",1,0),"")</f>
        <v>0</v>
      </c>
      <c r="T51" s="1">
        <f>IF(AND(Programme_Grunddaten!$A59="Geprüft",Programme_Grunddaten!AB59&lt;&gt;""),IF(Programme_Grunddaten!AB59="Ja",1,0),"")</f>
        <v>1</v>
      </c>
      <c r="U51" s="1">
        <f>IF(AND(Programme_Grunddaten!$A59="Geprüft",Programme_Grunddaten!AC59&lt;&gt;""),IF(Programme_Grunddaten!AC59="Ja",1,0),"")</f>
        <v>1</v>
      </c>
      <c r="V51" s="1">
        <f>IF(AND(Programme_Grunddaten!$A59="Geprüft",Programme_Grunddaten!AD59&lt;&gt;""),IF(Programme_Grunddaten!AD59="Ja",1,0),"")</f>
        <v>1</v>
      </c>
      <c r="W51" s="1">
        <f>IF(AND(Programme_Grunddaten!$A59="Geprüft",Programme_Grunddaten!AE59&lt;&gt;""),IF(Programme_Grunddaten!AE59="Ja",1,0),"")</f>
        <v>1</v>
      </c>
      <c r="X51" s="1">
        <f>IF(AND(Programme_Grunddaten!$A59="Geprüft",Programme_Grunddaten!AF59&lt;&gt;""),IF(Programme_Grunddaten!AF59="Ja",1,0),"")</f>
        <v>1</v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>
        <f>IF(AND(Programme_Grunddaten!$A59="Geprüft",Programme_Grunddaten!AI59&lt;&gt;""),IF(Programme_Grunddaten!AI59="Ja",1,0),"")</f>
        <v>1</v>
      </c>
      <c r="AB51" s="1" t="str">
        <f>IF(AND(Programme_Grunddaten!$A59="Geprüft",Programme_Grunddaten!AJ59&lt;&gt;""),IF(Programme_Grunddaten!AJ59="individuell programmierbar",1,0),"")</f>
        <v/>
      </c>
      <c r="AC51" s="1">
        <f>IF(AND(Programme_Grunddaten!$A59="Geprüft",Programme_Grunddaten!AK59&lt;&gt;""),IF(Programme_Grunddaten!AK59="Deutsch",0,IF(Programme_Grunddaten!AK59="Deutsch und Englisch",1,2)),"")</f>
        <v>1</v>
      </c>
      <c r="AD51" s="1">
        <f>IF(AND(Programme_Grunddaten!$A59="Geprüft",Programme_Grunddaten!AL59&lt;&gt;""),IF(Programme_Grunddaten!AL59="Ja",1,0),"")</f>
        <v>1</v>
      </c>
      <c r="AE51" s="1">
        <f>IF(AND(Programme_Grunddaten!$A59="Geprüft",Programme_Grunddaten!AM59&lt;&gt;""),IF(Programme_Grunddaten!AM59="Ja",1,0),"")</f>
        <v>0</v>
      </c>
      <c r="AF51" s="1">
        <f>IF(AND(Programme_Grunddaten!$A59="Geprüft",Programme_Grunddaten!AN59&lt;&gt;""),IF(Programme_Grunddaten!AN59="Ja",1,0),"")</f>
        <v>1</v>
      </c>
      <c r="AG51" s="1">
        <f>IF(AND(Programme_Grunddaten!$A59="Geprüft",Programme_Grunddaten!AO59&lt;&gt;""),IF(Programme_Grunddaten!AO59="Ja",1,0),"")</f>
        <v>0</v>
      </c>
      <c r="AH51" s="1" t="str">
        <f>IF(AND(Programme_Grunddaten!$A59="Geprüft",Programme_Grunddaten!AP59&lt;&gt;""),IF(Programme_Grunddaten!AP59="Ja",1,0),"")</f>
        <v/>
      </c>
      <c r="AI51" s="1">
        <f>IF(AND(Programme_Grunddaten!$A59="Geprüft",Programme_Grunddaten!AQ59&lt;&gt;""),IF(Programme_Grunddaten!AQ59="Ja",1,0),"")</f>
        <v>1</v>
      </c>
      <c r="AJ51" s="1">
        <f>IF(AND(Programme_Grunddaten!$A59="Geprüft",Programme_Grunddaten!AR59&lt;&gt;""),IF(Programme_Grunddaten!AR59="Ja",1,0),"")</f>
        <v>1</v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>P53</v>
      </c>
      <c r="B52" s="1">
        <f>IF(AND(Programme_Grunddaten!$A60="Geprüft",Programme_Grunddaten!I60&lt;&gt;""),IF(Programme_Grunddaten!I60="Ja",1,0),"")</f>
        <v>0</v>
      </c>
      <c r="C52" s="1">
        <f>IF(AND(Programme_Grunddaten!$A60="Geprüft",Programme_Grunddaten!J60&lt;&gt;""),IF(Programme_Grunddaten!J60="Ja",1,0),"")</f>
        <v>1</v>
      </c>
      <c r="D52" s="1">
        <f>IF(AND(Programme_Grunddaten!$A60="Geprüft",Programme_Grunddaten!K60&lt;&gt;""),IF(Programme_Grunddaten!K60="Ja",1,0),"")</f>
        <v>1</v>
      </c>
      <c r="E52" s="1">
        <f>IF(AND(Programme_Grunddaten!$A60="Geprüft",Programme_Grunddaten!L60&lt;&gt;""),IF(Programme_Grunddaten!L60="Abo / befristete Lizenz",1,0),"")</f>
        <v>1</v>
      </c>
      <c r="F52" s="1">
        <f>IF(AND(Programme_Grunddaten!$A60="Geprüft",Programme_Grunddaten!M60&lt;&gt;""),IF(Programme_Grunddaten!M60="Ja",1,0),"")</f>
        <v>0</v>
      </c>
      <c r="G52" s="1">
        <f>IF(AND(Programme_Grunddaten!$A60="Geprüft",Programme_Grunddaten!N60&lt;&gt;""),IF(Programme_Grunddaten!N60="Ja",1,0),"")</f>
        <v>1</v>
      </c>
      <c r="H52" s="1" t="str">
        <f>IF(AND(Programme_Grunddaten!$A60="Geprüft",Programme_Grunddaten!O60&lt;&gt;""),IF(Programme_Grunddaten!O60="Deutschland",0,IF(Programme_Grunddaten!O60="EU",1,2)),"")</f>
        <v/>
      </c>
      <c r="I52" s="1">
        <f>IF(AND(Programme_Grunddaten!$A60="Geprüft",Programme_Grunddaten!P60&lt;&gt;""),IF(Programme_Grunddaten!P60="Ja",1,0),"")</f>
        <v>1</v>
      </c>
      <c r="J52" s="1">
        <f>IF(AND(Programme_Grunddaten!$A60="Geprüft",Programme_Grunddaten!Q60&lt;&gt;""),IF(Programme_Grunddaten!Q60="geschlossenes System",1,0),"")</f>
        <v>0</v>
      </c>
      <c r="K52" s="1" t="str">
        <f>IF(AND(Programme_Grunddaten!$A60="Geprüft",Programme_Grunddaten!R60&lt;&gt;""),IF(Programme_Grunddaten!R60="Ja",1,0),"")</f>
        <v/>
      </c>
      <c r="L52" s="1">
        <f>IF(AND(Programme_Grunddaten!$A60="Geprüft",Programme_Grunddaten!T60&lt;&gt;""),IF(Programme_Grunddaten!T60="Ja",1,0),"")</f>
        <v>1</v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>
        <f>IF(AND(Programme_Grunddaten!$A60="Geprüft",Programme_Grunddaten!Z60&lt;&gt;""),IF(Programme_Grunddaten!Z60="Ja",1,0),"")</f>
        <v>0</v>
      </c>
      <c r="S52" s="1">
        <f>IF(AND(Programme_Grunddaten!$A60="Geprüft",Programme_Grunddaten!AA60&lt;&gt;""),IF(Programme_Grunddaten!AA60="monolithisch",1,0),"")</f>
        <v>0</v>
      </c>
      <c r="T52" s="1">
        <f>IF(AND(Programme_Grunddaten!$A60="Geprüft",Programme_Grunddaten!AB60&lt;&gt;""),IF(Programme_Grunddaten!AB60="Ja",1,0),"")</f>
        <v>1</v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>
        <f>IF(AND(Programme_Grunddaten!$A60="Geprüft",Programme_Grunddaten!AI60&lt;&gt;""),IF(Programme_Grunddaten!AI60="Ja",1,0),"")</f>
        <v>1</v>
      </c>
      <c r="AB52" s="1" t="str">
        <f>IF(AND(Programme_Grunddaten!$A60="Geprüft",Programme_Grunddaten!AJ60&lt;&gt;""),IF(Programme_Grunddaten!AJ60="individuell programmierbar",1,0),"")</f>
        <v/>
      </c>
      <c r="AC52" s="1">
        <f>IF(AND(Programme_Grunddaten!$A60="Geprüft",Programme_Grunddaten!AK60&lt;&gt;""),IF(Programme_Grunddaten!AK60="Deutsch",0,IF(Programme_Grunddaten!AK60="Deutsch und Englisch",1,2)),"")</f>
        <v>2</v>
      </c>
      <c r="AD52" s="1">
        <f>IF(AND(Programme_Grunddaten!$A60="Geprüft",Programme_Grunddaten!AL60&lt;&gt;""),IF(Programme_Grunddaten!AL60="Ja",1,0),"")</f>
        <v>1</v>
      </c>
      <c r="AE52" s="1">
        <f>IF(AND(Programme_Grunddaten!$A60="Geprüft",Programme_Grunddaten!AM60&lt;&gt;""),IF(Programme_Grunddaten!AM60="Ja",1,0),"")</f>
        <v>0</v>
      </c>
      <c r="AF52" s="1" t="str">
        <f>IF(AND(Programme_Grunddaten!$A60="Geprüft",Programme_Grunddaten!AN60&lt;&gt;""),IF(Programme_Grunddaten!AN60="Ja",1,0),"")</f>
        <v/>
      </c>
      <c r="AG52" s="1">
        <f>IF(AND(Programme_Grunddaten!$A60="Geprüft",Programme_Grunddaten!AO60&lt;&gt;""),IF(Programme_Grunddaten!AO60="Ja",1,0),"")</f>
        <v>0</v>
      </c>
      <c r="AH52" s="1" t="str">
        <f>IF(AND(Programme_Grunddaten!$A60="Geprüft",Programme_Grunddaten!AP60&lt;&gt;""),IF(Programme_Grunddaten!AP60="Ja",1,0),"")</f>
        <v/>
      </c>
      <c r="AI52" s="1">
        <f>IF(AND(Programme_Grunddaten!$A60="Geprüft",Programme_Grunddaten!AQ60&lt;&gt;""),IF(Programme_Grunddaten!AQ60="Ja",1,0),"")</f>
        <v>1</v>
      </c>
      <c r="AJ52" s="1">
        <f>IF(AND(Programme_Grunddaten!$A60="Geprüft",Programme_Grunddaten!AR60&lt;&gt;""),IF(Programme_Grunddaten!AR60="Ja",1,0),"")</f>
        <v>1</v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>P54</v>
      </c>
      <c r="B53" s="1">
        <f>IF(AND(Programme_Grunddaten!$A61="Geprüft",Programme_Grunddaten!I61&lt;&gt;""),IF(Programme_Grunddaten!I61="Ja",1,0),"")</f>
        <v>0</v>
      </c>
      <c r="C53" s="1">
        <f>IF(AND(Programme_Grunddaten!$A61="Geprüft",Programme_Grunddaten!J61&lt;&gt;""),IF(Programme_Grunddaten!J61="Ja",1,0),"")</f>
        <v>1</v>
      </c>
      <c r="D53" s="1">
        <f>IF(AND(Programme_Grunddaten!$A61="Geprüft",Programme_Grunddaten!K61&lt;&gt;""),IF(Programme_Grunddaten!K61="Ja",1,0),"")</f>
        <v>1</v>
      </c>
      <c r="E53" s="1" t="str">
        <f>IF(AND(Programme_Grunddaten!$A61="Geprüft",Programme_Grunddaten!L61&lt;&gt;""),IF(Programme_Grunddaten!L61="Abo / befristete Lizenz",1,0),"")</f>
        <v/>
      </c>
      <c r="F53" s="1">
        <f>IF(AND(Programme_Grunddaten!$A61="Geprüft",Programme_Grunddaten!M61&lt;&gt;""),IF(Programme_Grunddaten!M61="Ja",1,0),"")</f>
        <v>0</v>
      </c>
      <c r="G53" s="1">
        <f>IF(AND(Programme_Grunddaten!$A61="Geprüft",Programme_Grunddaten!N61&lt;&gt;""),IF(Programme_Grunddaten!N61="Ja",1,0),"")</f>
        <v>1</v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>
        <f>IF(AND(Programme_Grunddaten!$A61="Geprüft",Programme_Grunddaten!Q61&lt;&gt;""),IF(Programme_Grunddaten!Q61="geschlossenes System",1,0),"")</f>
        <v>0</v>
      </c>
      <c r="K53" s="1" t="str">
        <f>IF(AND(Programme_Grunddaten!$A61="Geprüft",Programme_Grunddaten!R61&lt;&gt;""),IF(Programme_Grunddaten!R61="Ja",1,0),"")</f>
        <v/>
      </c>
      <c r="L53" s="1">
        <f>IF(AND(Programme_Grunddaten!$A61="Geprüft",Programme_Grunddaten!T61&lt;&gt;""),IF(Programme_Grunddaten!T61="Ja",1,0),"")</f>
        <v>1</v>
      </c>
      <c r="M53" s="1">
        <f>IF(AND(Programme_Grunddaten!$A61="Geprüft",Programme_Grunddaten!U61&lt;&gt;""),IF(Programme_Grunddaten!U61="Ja",1,0),"")</f>
        <v>1</v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>
        <f>IF(AND(Programme_Grunddaten!$A61="Geprüft",Programme_Grunddaten!Z61&lt;&gt;""),IF(Programme_Grunddaten!Z61="Ja",1,0),"")</f>
        <v>0</v>
      </c>
      <c r="S53" s="1">
        <f>IF(AND(Programme_Grunddaten!$A61="Geprüft",Programme_Grunddaten!AA61&lt;&gt;""),IF(Programme_Grunddaten!AA61="monolithisch",1,0),"")</f>
        <v>0</v>
      </c>
      <c r="T53" s="1">
        <f>IF(AND(Programme_Grunddaten!$A61="Geprüft",Programme_Grunddaten!AB61&lt;&gt;""),IF(Programme_Grunddaten!AB61="Ja",1,0),"")</f>
        <v>1</v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>
        <f>IF(AND(Programme_Grunddaten!$A61="Geprüft",Programme_Grunddaten!AF61&lt;&gt;""),IF(Programme_Grunddaten!AF61="Ja",1,0),"")</f>
        <v>1</v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>
        <f>IF(AND(Programme_Grunddaten!$A61="Geprüft",Programme_Grunddaten!AI61&lt;&gt;""),IF(Programme_Grunddaten!AI61="Ja",1,0),"")</f>
        <v>1</v>
      </c>
      <c r="AB53" s="1" t="str">
        <f>IF(AND(Programme_Grunddaten!$A61="Geprüft",Programme_Grunddaten!AJ61&lt;&gt;""),IF(Programme_Grunddaten!AJ61="individuell programmierbar",1,0),"")</f>
        <v/>
      </c>
      <c r="AC53" s="1">
        <f>IF(AND(Programme_Grunddaten!$A61="Geprüft",Programme_Grunddaten!AK61&lt;&gt;""),IF(Programme_Grunddaten!AK61="Deutsch",0,IF(Programme_Grunddaten!AK61="Deutsch und Englisch",1,2)),"")</f>
        <v>2</v>
      </c>
      <c r="AD53" s="1">
        <f>IF(AND(Programme_Grunddaten!$A61="Geprüft",Programme_Grunddaten!AL61&lt;&gt;""),IF(Programme_Grunddaten!AL61="Ja",1,0),"")</f>
        <v>1</v>
      </c>
      <c r="AE53" s="1">
        <f>IF(AND(Programme_Grunddaten!$A61="Geprüft",Programme_Grunddaten!AM61&lt;&gt;""),IF(Programme_Grunddaten!AM61="Ja",1,0),"")</f>
        <v>0</v>
      </c>
      <c r="AF53" s="1" t="str">
        <f>IF(AND(Programme_Grunddaten!$A61="Geprüft",Programme_Grunddaten!AN61&lt;&gt;""),IF(Programme_Grunddaten!AN61="Ja",1,0),"")</f>
        <v/>
      </c>
      <c r="AG53" s="1">
        <f>IF(AND(Programme_Grunddaten!$A61="Geprüft",Programme_Grunddaten!AO61&lt;&gt;""),IF(Programme_Grunddaten!AO61="Ja",1,0),"")</f>
        <v>0</v>
      </c>
      <c r="AH53" s="1" t="str">
        <f>IF(AND(Programme_Grunddaten!$A61="Geprüft",Programme_Grunddaten!AP61&lt;&gt;""),IF(Programme_Grunddaten!AP61="Ja",1,0),"")</f>
        <v/>
      </c>
      <c r="AI53" s="1">
        <f>IF(AND(Programme_Grunddaten!$A61="Geprüft",Programme_Grunddaten!AQ61&lt;&gt;""),IF(Programme_Grunddaten!AQ61="Ja",1,0),"")</f>
        <v>1</v>
      </c>
      <c r="AJ53" s="1">
        <f>IF(AND(Programme_Grunddaten!$A61="Geprüft",Programme_Grunddaten!AR61&lt;&gt;""),IF(Programme_Grunddaten!AR61="Ja",1,0),"")</f>
        <v>1</v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>P57</v>
      </c>
      <c r="B56" s="1">
        <f>IF(AND(Programme_Grunddaten!$A64="Geprüft",Programme_Grunddaten!I64&lt;&gt;""),IF(Programme_Grunddaten!I64="Ja",1,0),"")</f>
        <v>0</v>
      </c>
      <c r="C56" s="1">
        <f>IF(AND(Programme_Grunddaten!$A64="Geprüft",Programme_Grunddaten!J64&lt;&gt;""),IF(Programme_Grunddaten!J64="Ja",1,0),"")</f>
        <v>1</v>
      </c>
      <c r="D56" s="1">
        <f>IF(AND(Programme_Grunddaten!$A64="Geprüft",Programme_Grunddaten!K64&lt;&gt;""),IF(Programme_Grunddaten!K64="Ja",1,0),"")</f>
        <v>1</v>
      </c>
      <c r="E56" s="1">
        <f>IF(AND(Programme_Grunddaten!$A64="Geprüft",Programme_Grunddaten!L64&lt;&gt;""),IF(Programme_Grunddaten!L64="Abo / befristete Lizenz",1,0),"")</f>
        <v>1</v>
      </c>
      <c r="F56" s="1">
        <f>IF(AND(Programme_Grunddaten!$A64="Geprüft",Programme_Grunddaten!M64&lt;&gt;""),IF(Programme_Grunddaten!M64="Ja",1,0),"")</f>
        <v>0</v>
      </c>
      <c r="G56" s="1">
        <f>IF(AND(Programme_Grunddaten!$A64="Geprüft",Programme_Grunddaten!N64&lt;&gt;""),IF(Programme_Grunddaten!N64="Ja",1,0),"")</f>
        <v>1</v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>
        <f>IF(AND(Programme_Grunddaten!$A64="Geprüft",Programme_Grunddaten!Q64&lt;&gt;""),IF(Programme_Grunddaten!Q64="geschlossenes System",1,0),"")</f>
        <v>0</v>
      </c>
      <c r="K56" s="1">
        <f>IF(AND(Programme_Grunddaten!$A64="Geprüft",Programme_Grunddaten!R64&lt;&gt;""),IF(Programme_Grunddaten!R64="Ja",1,0),"")</f>
        <v>0</v>
      </c>
      <c r="L56" s="1" t="str">
        <f>IF(AND(Programme_Grunddaten!$A64="Geprüft",Programme_Grunddaten!T64&lt;&gt;""),IF(Programme_Grunddaten!T64="Ja",1,0),"")</f>
        <v/>
      </c>
      <c r="M56" s="1">
        <f>IF(AND(Programme_Grunddaten!$A64="Geprüft",Programme_Grunddaten!U64&lt;&gt;""),IF(Programme_Grunddaten!U64="Ja",1,0),"")</f>
        <v>1</v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>
        <f>IF(AND(Programme_Grunddaten!$A64="Geprüft",Programme_Grunddaten!Z64&lt;&gt;""),IF(Programme_Grunddaten!Z64="Ja",1,0),"")</f>
        <v>0</v>
      </c>
      <c r="S56" s="1" t="str">
        <f>IF(AND(Programme_Grunddaten!$A64="Geprüft",Programme_Grunddaten!AA64&lt;&gt;""),IF(Programme_Grunddaten!AA64="monolithisch",1,0),"")</f>
        <v/>
      </c>
      <c r="T56" s="1">
        <f>IF(AND(Programme_Grunddaten!$A64="Geprüft",Programme_Grunddaten!AB64&lt;&gt;""),IF(Programme_Grunddaten!AB64="Ja",1,0),"")</f>
        <v>1</v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>
        <f>IF(AND(Programme_Grunddaten!$A64="Geprüft",Programme_Grunddaten!AI64&lt;&gt;""),IF(Programme_Grunddaten!AI64="Ja",1,0),"")</f>
        <v>1</v>
      </c>
      <c r="AB56" s="1" t="str">
        <f>IF(AND(Programme_Grunddaten!$A64="Geprüft",Programme_Grunddaten!AJ64&lt;&gt;""),IF(Programme_Grunddaten!AJ64="individuell programmierbar",1,0),"")</f>
        <v/>
      </c>
      <c r="AC56" s="1">
        <f>IF(AND(Programme_Grunddaten!$A64="Geprüft",Programme_Grunddaten!AK64&lt;&gt;""),IF(Programme_Grunddaten!AK64="Deutsch",0,IF(Programme_Grunddaten!AK64="Deutsch und Englisch",1,2)),"")</f>
        <v>2</v>
      </c>
      <c r="AD56" s="1" t="str">
        <f>IF(AND(Programme_Grunddaten!$A64="Geprüft",Programme_Grunddaten!AL64&lt;&gt;""),IF(Programme_Grunddaten!AL64="Ja",1,0),"")</f>
        <v/>
      </c>
      <c r="AE56" s="1">
        <f>IF(AND(Programme_Grunddaten!$A64="Geprüft",Programme_Grunddaten!AM64&lt;&gt;""),IF(Programme_Grunddaten!AM64="Ja",1,0),"")</f>
        <v>0</v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>
        <f>IF(AND(Programme_Grunddaten!$A64="Geprüft",Programme_Grunddaten!AQ64&lt;&gt;""),IF(Programme_Grunddaten!AQ64="Ja",1,0),"")</f>
        <v>1</v>
      </c>
      <c r="AJ56" s="1">
        <f>IF(AND(Programme_Grunddaten!$A64="Geprüft",Programme_Grunddaten!AR64&lt;&gt;""),IF(Programme_Grunddaten!AR64="Ja",1,0),"")</f>
        <v>1</v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workbookViewId="0">
      <selection activeCell="E2" sqref="E2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554</v>
      </c>
      <c r="B1" s="6" t="s">
        <v>576</v>
      </c>
      <c r="C1" s="6" t="s">
        <v>555</v>
      </c>
      <c r="D1" s="10" t="s">
        <v>1647</v>
      </c>
      <c r="E1" s="1" t="s">
        <v>558</v>
      </c>
    </row>
    <row r="2" spans="1:11" x14ac:dyDescent="0.3">
      <c r="A2" s="6" t="s">
        <v>399</v>
      </c>
      <c r="B2" s="6">
        <v>1</v>
      </c>
      <c r="C2" s="6" t="s">
        <v>1686</v>
      </c>
      <c r="D2" s="6" t="s">
        <v>1648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1684</v>
      </c>
      <c r="D3" s="8" t="s">
        <v>1651</v>
      </c>
      <c r="E3" s="1">
        <v>1</v>
      </c>
      <c r="I3" s="6"/>
      <c r="K3" s="6"/>
    </row>
    <row r="4" spans="1:11" x14ac:dyDescent="0.3">
      <c r="A4" s="6" t="s">
        <v>519</v>
      </c>
      <c r="B4" s="6">
        <v>1</v>
      </c>
      <c r="C4" s="6" t="s">
        <v>1748</v>
      </c>
      <c r="D4" s="6" t="s">
        <v>1648</v>
      </c>
      <c r="E4" s="1">
        <v>1</v>
      </c>
      <c r="I4" s="6"/>
      <c r="K4" s="6"/>
    </row>
    <row r="5" spans="1:11" x14ac:dyDescent="0.3">
      <c r="A5" s="6" t="s">
        <v>538</v>
      </c>
      <c r="B5" s="6">
        <v>1</v>
      </c>
      <c r="C5" s="6" t="s">
        <v>1683</v>
      </c>
      <c r="D5" s="6" t="s">
        <v>1650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1682</v>
      </c>
      <c r="D6" s="6" t="s">
        <v>1648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1681</v>
      </c>
      <c r="D7" s="8" t="s">
        <v>1651</v>
      </c>
      <c r="E7" s="1">
        <v>1</v>
      </c>
      <c r="I7" s="6"/>
      <c r="K7" s="6"/>
    </row>
    <row r="8" spans="1:11" x14ac:dyDescent="0.3">
      <c r="A8" s="6" t="s">
        <v>520</v>
      </c>
      <c r="B8" s="6">
        <v>1</v>
      </c>
      <c r="C8" s="6" t="s">
        <v>1658</v>
      </c>
      <c r="D8" s="6" t="s">
        <v>1650</v>
      </c>
      <c r="E8" s="1">
        <v>1</v>
      </c>
      <c r="I8" s="6"/>
      <c r="K8" s="6"/>
    </row>
    <row r="9" spans="1:11" x14ac:dyDescent="0.3">
      <c r="A9" s="6" t="s">
        <v>521</v>
      </c>
      <c r="B9" s="6">
        <v>1</v>
      </c>
      <c r="C9" s="6" t="s">
        <v>1680</v>
      </c>
      <c r="D9" s="6" t="s">
        <v>1648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1679</v>
      </c>
      <c r="D10" s="6" t="s">
        <v>1649</v>
      </c>
      <c r="E10" s="1">
        <v>1</v>
      </c>
      <c r="I10" s="6"/>
      <c r="K10" s="6"/>
    </row>
    <row r="11" spans="1:11" x14ac:dyDescent="0.3">
      <c r="A11" s="6" t="s">
        <v>539</v>
      </c>
      <c r="B11" s="6">
        <v>1</v>
      </c>
      <c r="C11" s="6" t="s">
        <v>1659</v>
      </c>
      <c r="D11" s="6" t="s">
        <v>1648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682</v>
      </c>
      <c r="D12" s="5" t="s">
        <v>1652</v>
      </c>
      <c r="I12" s="6"/>
      <c r="K12" s="6"/>
    </row>
    <row r="13" spans="1:11" x14ac:dyDescent="0.3">
      <c r="A13" s="6" t="s">
        <v>522</v>
      </c>
      <c r="B13" s="6">
        <v>1</v>
      </c>
      <c r="C13" s="6" t="s">
        <v>273</v>
      </c>
      <c r="D13" s="6" t="s">
        <v>1648</v>
      </c>
      <c r="E13" s="1">
        <v>1</v>
      </c>
      <c r="I13" s="6"/>
      <c r="K13" s="6"/>
    </row>
    <row r="14" spans="1:11" ht="30.05" x14ac:dyDescent="0.3">
      <c r="A14" s="6" t="s">
        <v>523</v>
      </c>
      <c r="B14" s="6">
        <v>1</v>
      </c>
      <c r="C14" s="6" t="s">
        <v>491</v>
      </c>
      <c r="D14" s="6" t="s">
        <v>1648</v>
      </c>
      <c r="E14" s="1">
        <v>1</v>
      </c>
      <c r="I14" s="6"/>
      <c r="K14" s="6"/>
    </row>
    <row r="15" spans="1:11" x14ac:dyDescent="0.3">
      <c r="A15" s="6" t="s">
        <v>540</v>
      </c>
      <c r="B15" s="6">
        <v>1</v>
      </c>
      <c r="C15" s="6" t="s">
        <v>425</v>
      </c>
      <c r="D15" s="6" t="s">
        <v>1648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1678</v>
      </c>
      <c r="D16" s="6" t="s">
        <v>1648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1677</v>
      </c>
      <c r="D17" s="8" t="s">
        <v>1651</v>
      </c>
      <c r="E17" s="1">
        <v>1</v>
      </c>
      <c r="I17" s="6"/>
      <c r="K17" s="6"/>
    </row>
    <row r="18" spans="1:11" ht="30.05" x14ac:dyDescent="0.3">
      <c r="A18" s="6" t="s">
        <v>524</v>
      </c>
      <c r="B18" s="6">
        <v>1</v>
      </c>
      <c r="C18" s="6" t="s">
        <v>1676</v>
      </c>
      <c r="D18" s="6" t="s">
        <v>1648</v>
      </c>
      <c r="E18" s="1">
        <v>1</v>
      </c>
      <c r="I18" s="6"/>
      <c r="K18" s="6"/>
    </row>
    <row r="19" spans="1:11" ht="30.05" x14ac:dyDescent="0.3">
      <c r="A19" s="6" t="s">
        <v>525</v>
      </c>
      <c r="B19" s="6">
        <v>1</v>
      </c>
      <c r="C19" s="6" t="s">
        <v>1675</v>
      </c>
      <c r="D19" s="6" t="s">
        <v>1648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1674</v>
      </c>
      <c r="D20" s="6" t="s">
        <v>1649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1673</v>
      </c>
      <c r="D21" s="6" t="s">
        <v>1648</v>
      </c>
      <c r="E21" s="1">
        <v>1</v>
      </c>
      <c r="I21" s="6"/>
      <c r="K21" s="6"/>
    </row>
    <row r="22" spans="1:11" x14ac:dyDescent="0.3">
      <c r="A22" s="6" t="s">
        <v>547</v>
      </c>
      <c r="B22" s="6">
        <v>1</v>
      </c>
      <c r="C22" s="6" t="s">
        <v>431</v>
      </c>
      <c r="D22" s="6" t="s">
        <v>1648</v>
      </c>
      <c r="E22" s="1">
        <v>1</v>
      </c>
      <c r="I22" s="6"/>
      <c r="K22" s="6"/>
    </row>
    <row r="23" spans="1:11" x14ac:dyDescent="0.3">
      <c r="A23" s="6" t="s">
        <v>546</v>
      </c>
      <c r="B23" s="6">
        <v>1</v>
      </c>
      <c r="C23" s="6" t="s">
        <v>432</v>
      </c>
      <c r="D23" s="6" t="s">
        <v>1648</v>
      </c>
      <c r="E23" s="1">
        <v>1</v>
      </c>
      <c r="I23" s="6"/>
      <c r="K23" s="6"/>
    </row>
    <row r="24" spans="1:11" x14ac:dyDescent="0.3">
      <c r="A24" s="6" t="s">
        <v>545</v>
      </c>
      <c r="B24" s="6">
        <v>1</v>
      </c>
      <c r="C24" s="6" t="s">
        <v>433</v>
      </c>
      <c r="D24" s="6" t="s">
        <v>1648</v>
      </c>
      <c r="E24" s="1">
        <v>1</v>
      </c>
      <c r="I24" s="6"/>
      <c r="K24" s="6"/>
    </row>
    <row r="25" spans="1:11" x14ac:dyDescent="0.3">
      <c r="A25" s="6" t="s">
        <v>544</v>
      </c>
      <c r="B25" s="6">
        <v>1</v>
      </c>
      <c r="C25" s="6" t="s">
        <v>434</v>
      </c>
      <c r="D25" s="6" t="s">
        <v>1648</v>
      </c>
      <c r="E25" s="1">
        <v>1</v>
      </c>
      <c r="I25" s="6"/>
      <c r="K25" s="6"/>
    </row>
    <row r="26" spans="1:11" x14ac:dyDescent="0.3">
      <c r="A26" s="6" t="s">
        <v>543</v>
      </c>
      <c r="B26" s="6">
        <v>1</v>
      </c>
      <c r="C26" s="6" t="s">
        <v>1672</v>
      </c>
      <c r="D26" s="6" t="s">
        <v>1648</v>
      </c>
      <c r="E26" s="1">
        <v>1</v>
      </c>
      <c r="I26" s="6"/>
      <c r="K26" s="6"/>
    </row>
    <row r="27" spans="1:11" x14ac:dyDescent="0.3">
      <c r="A27" s="6" t="s">
        <v>542</v>
      </c>
      <c r="B27" s="6">
        <v>1</v>
      </c>
      <c r="C27" s="6" t="s">
        <v>436</v>
      </c>
      <c r="D27" s="6" t="s">
        <v>1648</v>
      </c>
      <c r="E27" s="1">
        <v>1</v>
      </c>
      <c r="I27" s="6"/>
      <c r="K27" s="6"/>
    </row>
    <row r="28" spans="1:11" x14ac:dyDescent="0.3">
      <c r="A28" s="6" t="s">
        <v>541</v>
      </c>
      <c r="B28" s="6">
        <v>1</v>
      </c>
      <c r="C28" s="6" t="s">
        <v>437</v>
      </c>
      <c r="D28" s="6" t="s">
        <v>1648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1671</v>
      </c>
      <c r="D29" s="6" t="s">
        <v>1650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1670</v>
      </c>
      <c r="D30" s="6" t="s">
        <v>1650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1668</v>
      </c>
      <c r="D31" s="6" t="s">
        <v>1648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1669</v>
      </c>
      <c r="D32" s="8" t="s">
        <v>1651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1718</v>
      </c>
      <c r="D33" s="6" t="s">
        <v>1648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1667</v>
      </c>
      <c r="D34" s="6" t="s">
        <v>1650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487</v>
      </c>
      <c r="D35" s="6" t="s">
        <v>1648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1666</v>
      </c>
      <c r="D36" s="6" t="s">
        <v>1648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1648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1665</v>
      </c>
      <c r="D38" s="6" t="s">
        <v>1648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1664</v>
      </c>
      <c r="D39" s="6" t="s">
        <v>1648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1663</v>
      </c>
      <c r="D40" s="6" t="s">
        <v>1648</v>
      </c>
      <c r="E40" s="1">
        <v>1</v>
      </c>
      <c r="I40" s="6"/>
      <c r="K40" s="6"/>
    </row>
    <row r="41" spans="1:11" x14ac:dyDescent="0.3">
      <c r="A41" s="6" t="s">
        <v>1752</v>
      </c>
      <c r="B41" s="6">
        <v>1</v>
      </c>
      <c r="C41" s="6" t="s">
        <v>446</v>
      </c>
      <c r="D41" s="6" t="s">
        <v>1650</v>
      </c>
      <c r="E41" s="1">
        <v>1</v>
      </c>
      <c r="I41" s="6"/>
      <c r="K41" s="6"/>
    </row>
    <row r="42" spans="1:11" x14ac:dyDescent="0.3">
      <c r="A42" s="6" t="s">
        <v>1766</v>
      </c>
      <c r="B42" s="6">
        <v>0</v>
      </c>
      <c r="C42" s="6" t="s">
        <v>531</v>
      </c>
      <c r="D42" s="6"/>
      <c r="I42" s="6"/>
      <c r="K42" s="6"/>
    </row>
    <row r="43" spans="1:11" x14ac:dyDescent="0.3">
      <c r="A43" s="6" t="s">
        <v>1767</v>
      </c>
      <c r="B43" s="6">
        <v>0</v>
      </c>
      <c r="C43" s="6" t="s">
        <v>1695</v>
      </c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N35"/>
  <sheetViews>
    <sheetView tabSelected="1" zoomScale="75" zoomScaleNormal="75" workbookViewId="0">
      <selection activeCell="F3" sqref="F3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7" width="76.5546875" style="6" customWidth="1"/>
    <col min="8" max="8" width="23.77734375" style="10" customWidth="1"/>
    <col min="9" max="9" width="34.88671875" style="6" customWidth="1"/>
    <col min="10" max="10" width="29.109375" style="6" customWidth="1"/>
    <col min="11" max="11" width="24.21875" style="6" customWidth="1"/>
    <col min="12" max="12" width="23.33203125" style="1" customWidth="1"/>
    <col min="13" max="13" width="11.5546875" style="1"/>
    <col min="14" max="14" width="11.5546875" style="8"/>
    <col min="15" max="16384" width="11.5546875" style="1"/>
  </cols>
  <sheetData>
    <row r="1" spans="1:12" ht="30.05" x14ac:dyDescent="0.3">
      <c r="A1" s="6" t="s">
        <v>554</v>
      </c>
      <c r="B1" s="6" t="s">
        <v>1643</v>
      </c>
      <c r="C1" s="6" t="s">
        <v>1644</v>
      </c>
      <c r="D1" s="6" t="s">
        <v>570</v>
      </c>
      <c r="E1" s="6" t="s">
        <v>559</v>
      </c>
      <c r="F1" s="6" t="s">
        <v>1787</v>
      </c>
      <c r="G1" s="6" t="s">
        <v>1753</v>
      </c>
      <c r="H1" s="10" t="s">
        <v>557</v>
      </c>
      <c r="I1" s="6" t="s">
        <v>560</v>
      </c>
      <c r="J1" s="6" t="s">
        <v>561</v>
      </c>
      <c r="K1" s="6" t="s">
        <v>562</v>
      </c>
      <c r="L1" s="6" t="s">
        <v>563</v>
      </c>
    </row>
    <row r="2" spans="1:12" ht="60.1" x14ac:dyDescent="0.3">
      <c r="A2" s="6" t="s">
        <v>400</v>
      </c>
      <c r="B2" s="6"/>
      <c r="C2" s="6"/>
      <c r="D2" s="7" t="s">
        <v>571</v>
      </c>
      <c r="E2" s="7" t="s">
        <v>566</v>
      </c>
      <c r="F2" s="7" t="s">
        <v>1788</v>
      </c>
      <c r="G2" s="7"/>
      <c r="H2" s="10" t="s">
        <v>1645</v>
      </c>
      <c r="I2" s="6" t="s">
        <v>567</v>
      </c>
      <c r="J2" s="6" t="s">
        <v>1688</v>
      </c>
      <c r="L2" t="s">
        <v>1660</v>
      </c>
    </row>
    <row r="3" spans="1:12" ht="45.1" x14ac:dyDescent="0.3">
      <c r="A3" s="6" t="s">
        <v>519</v>
      </c>
      <c r="B3" s="6" t="s">
        <v>400</v>
      </c>
      <c r="C3" s="6" t="s">
        <v>1688</v>
      </c>
      <c r="D3" s="6" t="s">
        <v>519</v>
      </c>
      <c r="E3" s="6" t="s">
        <v>447</v>
      </c>
      <c r="F3" s="7"/>
      <c r="H3" s="10" t="s">
        <v>1645</v>
      </c>
      <c r="I3" s="6" t="s">
        <v>1653</v>
      </c>
      <c r="J3" s="6" t="s">
        <v>1687</v>
      </c>
      <c r="L3" t="s">
        <v>1660</v>
      </c>
    </row>
    <row r="4" spans="1:12" ht="30.05" x14ac:dyDescent="0.3">
      <c r="A4" s="6" t="s">
        <v>538</v>
      </c>
      <c r="B4" s="6" t="s">
        <v>519</v>
      </c>
      <c r="C4" s="6" t="s">
        <v>1687</v>
      </c>
      <c r="D4" s="6" t="s">
        <v>538</v>
      </c>
      <c r="E4" s="6" t="s">
        <v>448</v>
      </c>
      <c r="F4" s="7" t="s">
        <v>1788</v>
      </c>
      <c r="H4" s="10" t="s">
        <v>1645</v>
      </c>
      <c r="I4" s="6" t="s">
        <v>526</v>
      </c>
      <c r="J4" s="6" t="s">
        <v>497</v>
      </c>
      <c r="L4" t="s">
        <v>1660</v>
      </c>
    </row>
    <row r="5" spans="1:12" x14ac:dyDescent="0.3">
      <c r="A5" s="6" t="s">
        <v>402</v>
      </c>
      <c r="B5" s="6"/>
      <c r="C5" s="6"/>
      <c r="D5" s="6" t="s">
        <v>572</v>
      </c>
      <c r="E5" s="6" t="s">
        <v>449</v>
      </c>
      <c r="F5" s="7" t="s">
        <v>1788</v>
      </c>
      <c r="H5" s="10" t="s">
        <v>1645</v>
      </c>
      <c r="I5" s="6" t="s">
        <v>468</v>
      </c>
      <c r="J5" s="6" t="s">
        <v>469</v>
      </c>
      <c r="L5" t="s">
        <v>1660</v>
      </c>
    </row>
    <row r="6" spans="1:12" ht="30.05" x14ac:dyDescent="0.3">
      <c r="A6" s="6" t="s">
        <v>520</v>
      </c>
      <c r="B6" s="6" t="s">
        <v>402</v>
      </c>
      <c r="C6" s="6" t="s">
        <v>468</v>
      </c>
      <c r="D6" s="6" t="s">
        <v>520</v>
      </c>
      <c r="E6" s="6" t="s">
        <v>450</v>
      </c>
      <c r="F6" s="7" t="s">
        <v>1788</v>
      </c>
      <c r="H6" s="10" t="s">
        <v>1645</v>
      </c>
      <c r="I6" s="6" t="s">
        <v>470</v>
      </c>
      <c r="J6" s="6" t="s">
        <v>471</v>
      </c>
      <c r="K6" s="6" t="s">
        <v>472</v>
      </c>
      <c r="L6" t="s">
        <v>1660</v>
      </c>
    </row>
    <row r="7" spans="1:12" ht="30.05" x14ac:dyDescent="0.3">
      <c r="A7" s="6" t="s">
        <v>520</v>
      </c>
      <c r="B7" s="6" t="s">
        <v>402</v>
      </c>
      <c r="C7" t="s">
        <v>1660</v>
      </c>
      <c r="D7" s="6" t="s">
        <v>520</v>
      </c>
      <c r="E7" s="6" t="s">
        <v>450</v>
      </c>
      <c r="F7" s="7" t="s">
        <v>1788</v>
      </c>
      <c r="H7" s="10" t="s">
        <v>1645</v>
      </c>
      <c r="I7" s="6" t="s">
        <v>470</v>
      </c>
      <c r="J7" s="6" t="s">
        <v>471</v>
      </c>
      <c r="K7" s="6" t="s">
        <v>472</v>
      </c>
      <c r="L7" t="s">
        <v>1660</v>
      </c>
    </row>
    <row r="8" spans="1:12" ht="30.05" x14ac:dyDescent="0.3">
      <c r="A8" s="6" t="s">
        <v>521</v>
      </c>
      <c r="B8" s="6" t="s">
        <v>402</v>
      </c>
      <c r="C8" s="6" t="s">
        <v>468</v>
      </c>
      <c r="D8" s="6" t="s">
        <v>521</v>
      </c>
      <c r="E8" s="6" t="s">
        <v>473</v>
      </c>
      <c r="F8" s="7" t="s">
        <v>1788</v>
      </c>
      <c r="H8" s="10" t="s">
        <v>1645</v>
      </c>
      <c r="I8" s="6" t="s">
        <v>466</v>
      </c>
      <c r="J8" s="6" t="s">
        <v>467</v>
      </c>
      <c r="L8" t="s">
        <v>1660</v>
      </c>
    </row>
    <row r="9" spans="1:12" ht="30.05" x14ac:dyDescent="0.3">
      <c r="A9" s="6" t="s">
        <v>521</v>
      </c>
      <c r="B9" s="6" t="s">
        <v>402</v>
      </c>
      <c r="C9" t="s">
        <v>1660</v>
      </c>
      <c r="D9" s="6" t="s">
        <v>521</v>
      </c>
      <c r="E9" s="6" t="s">
        <v>473</v>
      </c>
      <c r="F9" s="7" t="s">
        <v>1788</v>
      </c>
      <c r="H9" s="10" t="s">
        <v>1645</v>
      </c>
      <c r="I9" s="6" t="s">
        <v>466</v>
      </c>
      <c r="J9" s="6" t="s">
        <v>467</v>
      </c>
      <c r="L9" t="s">
        <v>1660</v>
      </c>
    </row>
    <row r="10" spans="1:12" x14ac:dyDescent="0.3">
      <c r="A10" s="6" t="s">
        <v>403</v>
      </c>
      <c r="B10" s="6"/>
      <c r="C10" s="6"/>
      <c r="D10" s="6" t="s">
        <v>403</v>
      </c>
      <c r="E10" s="6" t="s">
        <v>1755</v>
      </c>
      <c r="F10" s="7" t="s">
        <v>1788</v>
      </c>
      <c r="G10" s="6" t="s">
        <v>1754</v>
      </c>
      <c r="H10" s="10" t="s">
        <v>1645</v>
      </c>
      <c r="I10" s="6" t="s">
        <v>466</v>
      </c>
      <c r="J10" s="6" t="s">
        <v>474</v>
      </c>
      <c r="L10" t="s">
        <v>1660</v>
      </c>
    </row>
    <row r="11" spans="1:12" x14ac:dyDescent="0.3">
      <c r="A11" s="6" t="s">
        <v>539</v>
      </c>
      <c r="B11" s="6" t="s">
        <v>403</v>
      </c>
      <c r="C11" s="6" t="s">
        <v>466</v>
      </c>
      <c r="D11" s="6" t="s">
        <v>539</v>
      </c>
      <c r="E11" s="6" t="s">
        <v>451</v>
      </c>
      <c r="F11" s="7" t="s">
        <v>1788</v>
      </c>
      <c r="H11" s="10" t="s">
        <v>1645</v>
      </c>
      <c r="I11" s="6" t="s">
        <v>466</v>
      </c>
      <c r="J11" s="6" t="s">
        <v>467</v>
      </c>
      <c r="L11" t="s">
        <v>1660</v>
      </c>
    </row>
    <row r="12" spans="1:12" ht="31.3" customHeight="1" x14ac:dyDescent="0.3">
      <c r="A12" s="6" t="s">
        <v>404</v>
      </c>
      <c r="B12" s="6"/>
      <c r="C12" s="6"/>
      <c r="D12" s="6" t="s">
        <v>574</v>
      </c>
      <c r="E12" s="6" t="s">
        <v>1758</v>
      </c>
      <c r="F12" s="7" t="s">
        <v>1788</v>
      </c>
      <c r="G12" s="6" t="s">
        <v>1756</v>
      </c>
      <c r="H12" s="5" t="s">
        <v>569</v>
      </c>
      <c r="I12" s="6" t="s">
        <v>490</v>
      </c>
      <c r="J12" s="6" t="s">
        <v>489</v>
      </c>
      <c r="K12" s="6" t="s">
        <v>488</v>
      </c>
      <c r="L12"/>
    </row>
    <row r="13" spans="1:12" ht="60.1" x14ac:dyDescent="0.3">
      <c r="A13" s="6" t="s">
        <v>405</v>
      </c>
      <c r="B13" s="6"/>
      <c r="C13" s="6"/>
      <c r="D13" s="6" t="s">
        <v>405</v>
      </c>
      <c r="E13" s="6" t="s">
        <v>1764</v>
      </c>
      <c r="F13" s="7" t="s">
        <v>1788</v>
      </c>
      <c r="G13" s="6" t="s">
        <v>1765</v>
      </c>
      <c r="H13" s="10" t="s">
        <v>1645</v>
      </c>
      <c r="I13" s="6" t="s">
        <v>466</v>
      </c>
      <c r="J13" s="6" t="s">
        <v>467</v>
      </c>
      <c r="L13" t="s">
        <v>1660</v>
      </c>
    </row>
    <row r="14" spans="1:12" ht="45.1" x14ac:dyDescent="0.3">
      <c r="A14" s="6" t="s">
        <v>406</v>
      </c>
      <c r="B14" s="6"/>
      <c r="C14" s="6"/>
      <c r="D14" s="6" t="s">
        <v>575</v>
      </c>
      <c r="E14" s="6" t="s">
        <v>1685</v>
      </c>
      <c r="F14" s="7" t="s">
        <v>1788</v>
      </c>
      <c r="H14" s="10" t="s">
        <v>1645</v>
      </c>
      <c r="I14" s="6" t="s">
        <v>499</v>
      </c>
      <c r="J14" s="6" t="s">
        <v>498</v>
      </c>
      <c r="L14" t="s">
        <v>1660</v>
      </c>
    </row>
    <row r="15" spans="1:12" x14ac:dyDescent="0.3">
      <c r="A15" s="6" t="s">
        <v>407</v>
      </c>
      <c r="B15" s="6"/>
      <c r="C15" s="6"/>
      <c r="D15" s="6" t="s">
        <v>407</v>
      </c>
      <c r="E15" s="6" t="s">
        <v>452</v>
      </c>
      <c r="F15" s="7" t="s">
        <v>1788</v>
      </c>
      <c r="H15" s="10" t="s">
        <v>1645</v>
      </c>
      <c r="I15" s="6" t="s">
        <v>466</v>
      </c>
      <c r="J15" s="6" t="s">
        <v>467</v>
      </c>
      <c r="L15" t="s">
        <v>1660</v>
      </c>
    </row>
    <row r="16" spans="1:12" x14ac:dyDescent="0.3">
      <c r="A16" s="6" t="s">
        <v>408</v>
      </c>
      <c r="B16" s="6"/>
      <c r="C16" s="6"/>
      <c r="D16" s="6" t="s">
        <v>408</v>
      </c>
      <c r="E16" s="6" t="s">
        <v>1759</v>
      </c>
      <c r="F16" s="7" t="s">
        <v>1788</v>
      </c>
      <c r="G16" s="6" t="s">
        <v>1757</v>
      </c>
      <c r="H16" s="10" t="s">
        <v>1645</v>
      </c>
      <c r="I16" s="6" t="s">
        <v>466</v>
      </c>
      <c r="J16" s="6" t="s">
        <v>467</v>
      </c>
      <c r="L16" t="s">
        <v>1660</v>
      </c>
    </row>
    <row r="17" spans="1:12" x14ac:dyDescent="0.3">
      <c r="A17" s="6" t="s">
        <v>547</v>
      </c>
      <c r="B17" s="6" t="s">
        <v>408</v>
      </c>
      <c r="C17" s="6" t="s">
        <v>466</v>
      </c>
      <c r="D17" s="6" t="s">
        <v>547</v>
      </c>
      <c r="E17" s="6" t="s">
        <v>453</v>
      </c>
      <c r="F17" s="7" t="s">
        <v>1788</v>
      </c>
      <c r="H17" s="10" t="s">
        <v>1645</v>
      </c>
      <c r="I17" s="6" t="s">
        <v>466</v>
      </c>
      <c r="J17" s="6" t="s">
        <v>467</v>
      </c>
      <c r="L17" t="s">
        <v>1660</v>
      </c>
    </row>
    <row r="18" spans="1:12" x14ac:dyDescent="0.3">
      <c r="A18" s="6" t="s">
        <v>546</v>
      </c>
      <c r="B18" s="6" t="s">
        <v>408</v>
      </c>
      <c r="C18" s="6" t="s">
        <v>466</v>
      </c>
      <c r="D18" s="6" t="s">
        <v>546</v>
      </c>
      <c r="E18" s="6" t="s">
        <v>454</v>
      </c>
      <c r="F18" s="7" t="s">
        <v>1788</v>
      </c>
      <c r="H18" s="10" t="s">
        <v>1645</v>
      </c>
      <c r="I18" s="6" t="s">
        <v>466</v>
      </c>
      <c r="J18" s="6" t="s">
        <v>467</v>
      </c>
      <c r="L18" t="s">
        <v>1660</v>
      </c>
    </row>
    <row r="19" spans="1:12" x14ac:dyDescent="0.3">
      <c r="A19" s="6" t="s">
        <v>545</v>
      </c>
      <c r="B19" s="6" t="s">
        <v>408</v>
      </c>
      <c r="C19" s="6" t="s">
        <v>466</v>
      </c>
      <c r="D19" s="6" t="s">
        <v>545</v>
      </c>
      <c r="E19" s="6" t="s">
        <v>455</v>
      </c>
      <c r="F19" s="7" t="s">
        <v>1788</v>
      </c>
      <c r="H19" s="10" t="s">
        <v>1645</v>
      </c>
      <c r="I19" s="6" t="s">
        <v>466</v>
      </c>
      <c r="J19" s="6" t="s">
        <v>467</v>
      </c>
      <c r="L19" t="s">
        <v>1660</v>
      </c>
    </row>
    <row r="20" spans="1:12" x14ac:dyDescent="0.3">
      <c r="A20" s="6" t="s">
        <v>544</v>
      </c>
      <c r="B20" s="6" t="s">
        <v>408</v>
      </c>
      <c r="C20" s="6" t="s">
        <v>466</v>
      </c>
      <c r="D20" s="6" t="s">
        <v>544</v>
      </c>
      <c r="E20" s="6" t="s">
        <v>456</v>
      </c>
      <c r="F20" s="7" t="s">
        <v>1788</v>
      </c>
      <c r="H20" s="10" t="s">
        <v>1645</v>
      </c>
      <c r="I20" s="6" t="s">
        <v>466</v>
      </c>
      <c r="J20" s="6" t="s">
        <v>467</v>
      </c>
      <c r="L20" t="s">
        <v>1660</v>
      </c>
    </row>
    <row r="21" spans="1:12" x14ac:dyDescent="0.3">
      <c r="A21" s="6" t="s">
        <v>543</v>
      </c>
      <c r="B21" s="6" t="s">
        <v>408</v>
      </c>
      <c r="C21" s="6" t="s">
        <v>466</v>
      </c>
      <c r="D21" s="6" t="s">
        <v>543</v>
      </c>
      <c r="E21" s="6" t="s">
        <v>457</v>
      </c>
      <c r="F21" s="7" t="s">
        <v>1788</v>
      </c>
      <c r="H21" s="10" t="s">
        <v>1645</v>
      </c>
      <c r="I21" s="6" t="s">
        <v>466</v>
      </c>
      <c r="J21" s="6" t="s">
        <v>467</v>
      </c>
      <c r="L21" t="s">
        <v>1660</v>
      </c>
    </row>
    <row r="22" spans="1:12" x14ac:dyDescent="0.3">
      <c r="A22" s="6" t="s">
        <v>542</v>
      </c>
      <c r="B22" s="6" t="s">
        <v>408</v>
      </c>
      <c r="C22" s="6" t="s">
        <v>466</v>
      </c>
      <c r="D22" s="6" t="s">
        <v>542</v>
      </c>
      <c r="E22" s="6" t="s">
        <v>494</v>
      </c>
      <c r="F22" s="7" t="s">
        <v>1788</v>
      </c>
      <c r="H22" s="10" t="s">
        <v>1645</v>
      </c>
      <c r="I22" s="6" t="s">
        <v>466</v>
      </c>
      <c r="J22" s="6" t="s">
        <v>467</v>
      </c>
      <c r="L22" t="s">
        <v>1660</v>
      </c>
    </row>
    <row r="23" spans="1:12" x14ac:dyDescent="0.3">
      <c r="A23" s="6" t="s">
        <v>541</v>
      </c>
      <c r="B23" s="6" t="s">
        <v>408</v>
      </c>
      <c r="C23" s="6" t="s">
        <v>466</v>
      </c>
      <c r="D23" s="6" t="s">
        <v>541</v>
      </c>
      <c r="E23" s="6" t="s">
        <v>458</v>
      </c>
      <c r="F23" s="7" t="s">
        <v>1788</v>
      </c>
      <c r="H23" s="10" t="s">
        <v>1645</v>
      </c>
      <c r="I23" s="6" t="s">
        <v>466</v>
      </c>
      <c r="J23" s="6" t="s">
        <v>467</v>
      </c>
      <c r="L23" t="s">
        <v>1660</v>
      </c>
    </row>
    <row r="24" spans="1:12" x14ac:dyDescent="0.3">
      <c r="A24" s="6" t="s">
        <v>409</v>
      </c>
      <c r="B24" s="6"/>
      <c r="C24" s="6"/>
      <c r="D24" s="6" t="s">
        <v>409</v>
      </c>
      <c r="E24" s="6" t="s">
        <v>459</v>
      </c>
      <c r="F24" s="7" t="s">
        <v>1788</v>
      </c>
      <c r="H24" s="10" t="s">
        <v>1645</v>
      </c>
      <c r="I24" s="6" t="s">
        <v>475</v>
      </c>
      <c r="J24" s="6" t="s">
        <v>476</v>
      </c>
      <c r="L24" t="s">
        <v>1660</v>
      </c>
    </row>
    <row r="25" spans="1:12" ht="30.05" x14ac:dyDescent="0.3">
      <c r="A25" s="6" t="s">
        <v>410</v>
      </c>
      <c r="B25" s="6"/>
      <c r="C25" s="6"/>
      <c r="D25" s="6" t="s">
        <v>410</v>
      </c>
      <c r="E25" s="6" t="s">
        <v>460</v>
      </c>
      <c r="F25" s="7" t="s">
        <v>1788</v>
      </c>
      <c r="H25" s="10" t="s">
        <v>1645</v>
      </c>
      <c r="I25" s="6" t="s">
        <v>477</v>
      </c>
      <c r="J25" s="6" t="s">
        <v>478</v>
      </c>
      <c r="K25" s="6" t="s">
        <v>479</v>
      </c>
      <c r="L25" t="s">
        <v>1660</v>
      </c>
    </row>
    <row r="26" spans="1:12" x14ac:dyDescent="0.3">
      <c r="A26" s="6" t="s">
        <v>412</v>
      </c>
      <c r="B26" s="6"/>
      <c r="C26" s="6"/>
      <c r="D26" s="6" t="s">
        <v>573</v>
      </c>
      <c r="E26" s="6" t="s">
        <v>493</v>
      </c>
      <c r="F26" s="7" t="s">
        <v>1788</v>
      </c>
      <c r="H26" s="10" t="s">
        <v>1645</v>
      </c>
      <c r="I26" s="6" t="s">
        <v>480</v>
      </c>
      <c r="J26" s="6" t="s">
        <v>481</v>
      </c>
      <c r="L26" t="s">
        <v>1660</v>
      </c>
    </row>
    <row r="27" spans="1:12" x14ac:dyDescent="0.3">
      <c r="A27" s="6" t="s">
        <v>413</v>
      </c>
      <c r="B27" s="6"/>
      <c r="C27" s="6"/>
      <c r="D27" s="6" t="s">
        <v>413</v>
      </c>
      <c r="E27" s="6" t="s">
        <v>1760</v>
      </c>
      <c r="F27" s="7" t="s">
        <v>1788</v>
      </c>
      <c r="G27" s="6" t="s">
        <v>1761</v>
      </c>
      <c r="H27" s="10" t="s">
        <v>1645</v>
      </c>
      <c r="I27" s="6" t="s">
        <v>466</v>
      </c>
      <c r="J27" s="6" t="s">
        <v>467</v>
      </c>
      <c r="L27" t="s">
        <v>1660</v>
      </c>
    </row>
    <row r="28" spans="1:12" ht="30.05" x14ac:dyDescent="0.3">
      <c r="A28" s="6" t="s">
        <v>414</v>
      </c>
      <c r="B28" s="6"/>
      <c r="C28" s="6"/>
      <c r="D28" s="6" t="s">
        <v>414</v>
      </c>
      <c r="E28" s="6" t="s">
        <v>461</v>
      </c>
      <c r="F28" s="7" t="s">
        <v>1788</v>
      </c>
      <c r="H28" s="10" t="s">
        <v>1645</v>
      </c>
      <c r="I28" s="6" t="s">
        <v>1746</v>
      </c>
      <c r="J28" s="6" t="s">
        <v>483</v>
      </c>
      <c r="L28" t="s">
        <v>1660</v>
      </c>
    </row>
    <row r="29" spans="1:12" x14ac:dyDescent="0.3">
      <c r="A29" s="6" t="s">
        <v>415</v>
      </c>
      <c r="B29" s="6"/>
      <c r="C29" s="6"/>
      <c r="D29" s="6" t="s">
        <v>415</v>
      </c>
      <c r="E29" s="6" t="s">
        <v>486</v>
      </c>
      <c r="F29" s="7" t="s">
        <v>1788</v>
      </c>
      <c r="H29" s="10" t="s">
        <v>1645</v>
      </c>
      <c r="I29" s="6" t="s">
        <v>466</v>
      </c>
      <c r="J29" s="6" t="s">
        <v>467</v>
      </c>
      <c r="L29" t="s">
        <v>1660</v>
      </c>
    </row>
    <row r="30" spans="1:12" x14ac:dyDescent="0.3">
      <c r="A30" s="6" t="s">
        <v>416</v>
      </c>
      <c r="B30" s="6"/>
      <c r="C30" s="6"/>
      <c r="D30" s="6" t="s">
        <v>416</v>
      </c>
      <c r="E30" s="6" t="s">
        <v>1762</v>
      </c>
      <c r="F30" s="7" t="s">
        <v>1788</v>
      </c>
      <c r="G30" s="6" t="s">
        <v>1763</v>
      </c>
      <c r="H30" s="10" t="s">
        <v>1645</v>
      </c>
      <c r="I30" s="6" t="s">
        <v>466</v>
      </c>
      <c r="J30" s="6" t="s">
        <v>467</v>
      </c>
      <c r="L30" t="s">
        <v>1660</v>
      </c>
    </row>
    <row r="31" spans="1:12" x14ac:dyDescent="0.3">
      <c r="A31" s="6" t="s">
        <v>417</v>
      </c>
      <c r="B31" s="6"/>
      <c r="C31" s="6"/>
      <c r="D31" s="6" t="s">
        <v>417</v>
      </c>
      <c r="E31" s="6" t="s">
        <v>462</v>
      </c>
      <c r="F31" s="7" t="s">
        <v>1788</v>
      </c>
      <c r="H31" s="10" t="s">
        <v>1645</v>
      </c>
      <c r="I31" s="6" t="s">
        <v>466</v>
      </c>
      <c r="J31" s="6" t="s">
        <v>467</v>
      </c>
      <c r="L31" t="s">
        <v>1660</v>
      </c>
    </row>
    <row r="32" spans="1:12" x14ac:dyDescent="0.3">
      <c r="A32" s="6" t="s">
        <v>418</v>
      </c>
      <c r="B32" s="6"/>
      <c r="C32" s="6"/>
      <c r="D32" s="6" t="s">
        <v>418</v>
      </c>
      <c r="E32" s="6" t="s">
        <v>463</v>
      </c>
      <c r="F32" s="7" t="s">
        <v>1788</v>
      </c>
      <c r="H32" s="10" t="s">
        <v>1645</v>
      </c>
      <c r="I32" s="6" t="s">
        <v>466</v>
      </c>
      <c r="J32" s="6" t="s">
        <v>467</v>
      </c>
      <c r="L32" t="s">
        <v>1660</v>
      </c>
    </row>
    <row r="33" spans="1:12" ht="30.05" x14ac:dyDescent="0.3">
      <c r="A33" s="6" t="s">
        <v>419</v>
      </c>
      <c r="B33" s="6"/>
      <c r="C33" s="6"/>
      <c r="D33" s="6" t="s">
        <v>419</v>
      </c>
      <c r="E33" s="6" t="s">
        <v>1689</v>
      </c>
      <c r="F33" s="7" t="s">
        <v>1788</v>
      </c>
      <c r="H33" s="10" t="s">
        <v>1645</v>
      </c>
      <c r="I33" s="6" t="s">
        <v>466</v>
      </c>
      <c r="J33" s="6" t="s">
        <v>467</v>
      </c>
      <c r="L33" t="s">
        <v>1660</v>
      </c>
    </row>
    <row r="34" spans="1:12" ht="30.05" x14ac:dyDescent="0.3">
      <c r="A34" s="6" t="s">
        <v>420</v>
      </c>
      <c r="B34" s="6"/>
      <c r="C34" s="6"/>
      <c r="D34" s="6" t="s">
        <v>420</v>
      </c>
      <c r="E34" s="6" t="s">
        <v>464</v>
      </c>
      <c r="F34" s="7" t="s">
        <v>1788</v>
      </c>
      <c r="H34" s="10" t="s">
        <v>1645</v>
      </c>
      <c r="I34" s="6" t="s">
        <v>466</v>
      </c>
      <c r="J34" s="6" t="s">
        <v>467</v>
      </c>
      <c r="L34" t="s">
        <v>1660</v>
      </c>
    </row>
    <row r="35" spans="1:12" x14ac:dyDescent="0.3">
      <c r="A35" s="6" t="s">
        <v>1752</v>
      </c>
      <c r="B35" s="6"/>
      <c r="C35" s="6"/>
      <c r="D35" s="6" t="s">
        <v>1752</v>
      </c>
      <c r="E35" s="6" t="s">
        <v>465</v>
      </c>
      <c r="F35" s="7" t="s">
        <v>1788</v>
      </c>
      <c r="H35" s="10" t="s">
        <v>1645</v>
      </c>
      <c r="I35" s="6" t="s">
        <v>484</v>
      </c>
      <c r="J35" s="6" t="s">
        <v>485</v>
      </c>
      <c r="L35" t="s">
        <v>1660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554</v>
      </c>
      <c r="B1" s="8" t="s">
        <v>564</v>
      </c>
      <c r="C1" s="8" t="s">
        <v>565</v>
      </c>
      <c r="D1" s="6" t="s">
        <v>1646</v>
      </c>
    </row>
    <row r="2" spans="1:4" ht="60.1" x14ac:dyDescent="0.3">
      <c r="A2" s="6" t="s">
        <v>400</v>
      </c>
      <c r="B2" s="6" t="s">
        <v>567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567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568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568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1661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1661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1660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1660</v>
      </c>
      <c r="C9" s="8">
        <v>0.5</v>
      </c>
      <c r="D9" s="7" t="s">
        <v>400</v>
      </c>
    </row>
    <row r="10" spans="1:4" x14ac:dyDescent="0.3">
      <c r="A10" s="6" t="s">
        <v>519</v>
      </c>
      <c r="B10" s="8" t="s">
        <v>1653</v>
      </c>
      <c r="C10" s="8">
        <v>1</v>
      </c>
      <c r="D10" s="6" t="s">
        <v>519</v>
      </c>
    </row>
    <row r="11" spans="1:4" x14ac:dyDescent="0.3">
      <c r="A11" s="6" t="s">
        <v>519</v>
      </c>
      <c r="B11" s="8" t="s">
        <v>467</v>
      </c>
      <c r="C11" s="8">
        <v>0</v>
      </c>
      <c r="D11" s="6" t="s">
        <v>519</v>
      </c>
    </row>
    <row r="12" spans="1:4" x14ac:dyDescent="0.3">
      <c r="A12" s="6" t="s">
        <v>519</v>
      </c>
      <c r="B12" s="8" t="s">
        <v>1661</v>
      </c>
      <c r="C12" s="8">
        <v>-1</v>
      </c>
      <c r="D12" s="6" t="s">
        <v>519</v>
      </c>
    </row>
    <row r="13" spans="1:4" x14ac:dyDescent="0.3">
      <c r="A13" s="6" t="s">
        <v>519</v>
      </c>
      <c r="B13" s="8" t="s">
        <v>1660</v>
      </c>
      <c r="C13" s="8">
        <v>0.5</v>
      </c>
      <c r="D13" s="6" t="s">
        <v>519</v>
      </c>
    </row>
    <row r="14" spans="1:4" ht="30.05" x14ac:dyDescent="0.3">
      <c r="A14" s="6" t="s">
        <v>538</v>
      </c>
      <c r="B14" s="5" t="s">
        <v>526</v>
      </c>
      <c r="C14" s="8">
        <v>0</v>
      </c>
      <c r="D14" s="6" t="s">
        <v>538</v>
      </c>
    </row>
    <row r="15" spans="1:4" x14ac:dyDescent="0.3">
      <c r="A15" s="6" t="s">
        <v>538</v>
      </c>
      <c r="B15" s="5" t="s">
        <v>497</v>
      </c>
      <c r="C15" s="8">
        <v>1</v>
      </c>
      <c r="D15" s="6" t="s">
        <v>538</v>
      </c>
    </row>
    <row r="16" spans="1:4" x14ac:dyDescent="0.3">
      <c r="A16" s="6" t="s">
        <v>538</v>
      </c>
      <c r="B16" s="8" t="s">
        <v>1661</v>
      </c>
      <c r="C16" s="8">
        <v>-1</v>
      </c>
      <c r="D16" s="6" t="s">
        <v>538</v>
      </c>
    </row>
    <row r="17" spans="1:4" x14ac:dyDescent="0.3">
      <c r="A17" s="6" t="s">
        <v>538</v>
      </c>
      <c r="B17" s="8" t="s">
        <v>1660</v>
      </c>
      <c r="C17" s="8">
        <v>0.5</v>
      </c>
      <c r="D17" s="6" t="s">
        <v>538</v>
      </c>
    </row>
    <row r="18" spans="1:4" x14ac:dyDescent="0.3">
      <c r="A18" s="6" t="s">
        <v>402</v>
      </c>
      <c r="B18" s="6" t="s">
        <v>468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468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469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469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1661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1661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1660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1660</v>
      </c>
      <c r="C25" s="8">
        <v>0.5</v>
      </c>
      <c r="D25" s="6" t="s">
        <v>402</v>
      </c>
    </row>
    <row r="26" spans="1:4" ht="30.05" x14ac:dyDescent="0.3">
      <c r="A26" s="6" t="s">
        <v>520</v>
      </c>
      <c r="B26" s="5" t="s">
        <v>470</v>
      </c>
      <c r="C26" s="8">
        <v>0</v>
      </c>
      <c r="D26" s="6" t="s">
        <v>520</v>
      </c>
    </row>
    <row r="27" spans="1:4" x14ac:dyDescent="0.3">
      <c r="A27" s="6" t="s">
        <v>520</v>
      </c>
      <c r="B27" s="5" t="s">
        <v>471</v>
      </c>
      <c r="C27" s="8">
        <v>1</v>
      </c>
      <c r="D27" s="6" t="s">
        <v>520</v>
      </c>
    </row>
    <row r="28" spans="1:4" x14ac:dyDescent="0.3">
      <c r="A28" s="6" t="s">
        <v>520</v>
      </c>
      <c r="B28" s="5" t="s">
        <v>472</v>
      </c>
      <c r="C28" s="8">
        <v>2</v>
      </c>
      <c r="D28" s="6" t="s">
        <v>520</v>
      </c>
    </row>
    <row r="29" spans="1:4" x14ac:dyDescent="0.3">
      <c r="A29" s="6" t="s">
        <v>520</v>
      </c>
      <c r="B29" s="8" t="s">
        <v>1661</v>
      </c>
      <c r="C29" s="8">
        <v>-1</v>
      </c>
      <c r="D29" s="6" t="s">
        <v>520</v>
      </c>
    </row>
    <row r="30" spans="1:4" x14ac:dyDescent="0.3">
      <c r="A30" s="6" t="s">
        <v>520</v>
      </c>
      <c r="B30" s="8" t="s">
        <v>1660</v>
      </c>
      <c r="C30" s="8">
        <v>0.5</v>
      </c>
      <c r="D30" s="6" t="s">
        <v>520</v>
      </c>
    </row>
    <row r="31" spans="1:4" x14ac:dyDescent="0.3">
      <c r="A31" s="6" t="s">
        <v>521</v>
      </c>
      <c r="B31" s="5" t="s">
        <v>466</v>
      </c>
      <c r="C31" s="8">
        <v>1</v>
      </c>
      <c r="D31" s="6" t="s">
        <v>521</v>
      </c>
    </row>
    <row r="32" spans="1:4" x14ac:dyDescent="0.3">
      <c r="A32" s="6" t="s">
        <v>521</v>
      </c>
      <c r="B32" s="5" t="s">
        <v>467</v>
      </c>
      <c r="C32" s="8">
        <v>0</v>
      </c>
      <c r="D32" s="6" t="s">
        <v>521</v>
      </c>
    </row>
    <row r="33" spans="1:4" x14ac:dyDescent="0.3">
      <c r="A33" s="6" t="s">
        <v>521</v>
      </c>
      <c r="B33" s="8" t="s">
        <v>1661</v>
      </c>
      <c r="C33" s="8">
        <v>-1</v>
      </c>
      <c r="D33" s="6" t="s">
        <v>521</v>
      </c>
    </row>
    <row r="34" spans="1:4" x14ac:dyDescent="0.3">
      <c r="A34" s="6" t="s">
        <v>521</v>
      </c>
      <c r="B34" s="8" t="s">
        <v>1660</v>
      </c>
      <c r="C34" s="8">
        <v>0.5</v>
      </c>
      <c r="D34" s="6" t="s">
        <v>521</v>
      </c>
    </row>
    <row r="35" spans="1:4" x14ac:dyDescent="0.3">
      <c r="A35" s="6" t="s">
        <v>403</v>
      </c>
      <c r="B35" s="5" t="s">
        <v>466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474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1661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1660</v>
      </c>
      <c r="C38" s="8">
        <v>0.5</v>
      </c>
      <c r="D38" s="6" t="s">
        <v>403</v>
      </c>
    </row>
    <row r="39" spans="1:4" x14ac:dyDescent="0.3">
      <c r="A39" s="6" t="s">
        <v>539</v>
      </c>
      <c r="B39" s="5" t="s">
        <v>466</v>
      </c>
      <c r="C39" s="8">
        <v>1</v>
      </c>
      <c r="D39" s="6" t="s">
        <v>539</v>
      </c>
    </row>
    <row r="40" spans="1:4" x14ac:dyDescent="0.3">
      <c r="A40" s="6" t="s">
        <v>539</v>
      </c>
      <c r="B40" s="5" t="s">
        <v>467</v>
      </c>
      <c r="C40" s="8">
        <v>0</v>
      </c>
      <c r="D40" s="6" t="s">
        <v>539</v>
      </c>
    </row>
    <row r="41" spans="1:4" x14ac:dyDescent="0.3">
      <c r="A41" s="6" t="s">
        <v>539</v>
      </c>
      <c r="B41" s="8" t="s">
        <v>1661</v>
      </c>
      <c r="C41" s="8">
        <v>-1</v>
      </c>
      <c r="D41" s="6" t="s">
        <v>539</v>
      </c>
    </row>
    <row r="42" spans="1:4" x14ac:dyDescent="0.3">
      <c r="A42" s="6" t="s">
        <v>539</v>
      </c>
      <c r="B42" s="8" t="s">
        <v>1660</v>
      </c>
      <c r="C42" s="8">
        <v>0.5</v>
      </c>
      <c r="D42" s="6" t="s">
        <v>539</v>
      </c>
    </row>
    <row r="43" spans="1:4" x14ac:dyDescent="0.3">
      <c r="A43" s="6" t="s">
        <v>404</v>
      </c>
      <c r="B43" s="6" t="s">
        <v>490</v>
      </c>
      <c r="C43" s="8">
        <v>1</v>
      </c>
      <c r="D43" s="6" t="s">
        <v>522</v>
      </c>
    </row>
    <row r="44" spans="1:4" x14ac:dyDescent="0.3">
      <c r="A44" s="6" t="s">
        <v>404</v>
      </c>
      <c r="B44" s="6" t="s">
        <v>489</v>
      </c>
      <c r="C44" s="8">
        <v>1</v>
      </c>
      <c r="D44" s="6" t="s">
        <v>523</v>
      </c>
    </row>
    <row r="45" spans="1:4" x14ac:dyDescent="0.3">
      <c r="A45" s="6" t="s">
        <v>404</v>
      </c>
      <c r="B45" s="6" t="s">
        <v>488</v>
      </c>
      <c r="C45" s="8">
        <v>1</v>
      </c>
      <c r="D45" s="6" t="s">
        <v>540</v>
      </c>
    </row>
    <row r="46" spans="1:4" x14ac:dyDescent="0.3">
      <c r="A46" s="6" t="s">
        <v>404</v>
      </c>
      <c r="B46" s="8" t="s">
        <v>1661</v>
      </c>
      <c r="C46" s="8">
        <v>-1</v>
      </c>
      <c r="D46" s="6" t="s">
        <v>522</v>
      </c>
    </row>
    <row r="47" spans="1:4" x14ac:dyDescent="0.3">
      <c r="A47" s="6" t="s">
        <v>404</v>
      </c>
      <c r="B47" s="8" t="s">
        <v>1661</v>
      </c>
      <c r="C47" s="8">
        <v>-1</v>
      </c>
      <c r="D47" s="6" t="s">
        <v>523</v>
      </c>
    </row>
    <row r="48" spans="1:4" x14ac:dyDescent="0.3">
      <c r="A48" s="6" t="s">
        <v>404</v>
      </c>
      <c r="B48" s="8" t="s">
        <v>1661</v>
      </c>
      <c r="C48" s="8">
        <v>-1</v>
      </c>
      <c r="D48" s="6" t="s">
        <v>540</v>
      </c>
    </row>
    <row r="49" spans="1:4" x14ac:dyDescent="0.3">
      <c r="A49" s="6" t="s">
        <v>405</v>
      </c>
      <c r="B49" s="5" t="s">
        <v>466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467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1661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1660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499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499</v>
      </c>
      <c r="C54" s="8">
        <v>0</v>
      </c>
      <c r="D54" s="6" t="s">
        <v>524</v>
      </c>
    </row>
    <row r="55" spans="1:4" x14ac:dyDescent="0.3">
      <c r="A55" s="6" t="s">
        <v>406</v>
      </c>
      <c r="B55" s="5" t="s">
        <v>499</v>
      </c>
      <c r="C55" s="8">
        <v>0</v>
      </c>
      <c r="D55" s="6" t="s">
        <v>525</v>
      </c>
    </row>
    <row r="56" spans="1:4" ht="30.05" x14ac:dyDescent="0.3">
      <c r="A56" s="6" t="s">
        <v>406</v>
      </c>
      <c r="B56" s="5" t="s">
        <v>498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498</v>
      </c>
      <c r="C57" s="8">
        <v>1</v>
      </c>
      <c r="D57" s="6" t="s">
        <v>524</v>
      </c>
    </row>
    <row r="58" spans="1:4" ht="30.05" x14ac:dyDescent="0.3">
      <c r="A58" s="6" t="s">
        <v>406</v>
      </c>
      <c r="B58" s="5" t="s">
        <v>498</v>
      </c>
      <c r="C58" s="8">
        <v>1</v>
      </c>
      <c r="D58" s="6" t="s">
        <v>525</v>
      </c>
    </row>
    <row r="59" spans="1:4" x14ac:dyDescent="0.3">
      <c r="A59" s="6" t="s">
        <v>406</v>
      </c>
      <c r="B59" s="8" t="s">
        <v>1661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1661</v>
      </c>
      <c r="C60" s="8">
        <v>-1</v>
      </c>
      <c r="D60" s="6" t="s">
        <v>524</v>
      </c>
    </row>
    <row r="61" spans="1:4" x14ac:dyDescent="0.3">
      <c r="A61" s="6" t="s">
        <v>406</v>
      </c>
      <c r="B61" s="8" t="s">
        <v>1661</v>
      </c>
      <c r="C61" s="8">
        <v>-1</v>
      </c>
      <c r="D61" s="6" t="s">
        <v>525</v>
      </c>
    </row>
    <row r="62" spans="1:4" x14ac:dyDescent="0.3">
      <c r="A62" s="6" t="s">
        <v>406</v>
      </c>
      <c r="B62" s="8" t="s">
        <v>1660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1660</v>
      </c>
      <c r="C63" s="8">
        <v>0.5</v>
      </c>
      <c r="D63" s="6" t="s">
        <v>524</v>
      </c>
    </row>
    <row r="64" spans="1:4" x14ac:dyDescent="0.3">
      <c r="A64" s="6" t="s">
        <v>406</v>
      </c>
      <c r="B64" s="8" t="s">
        <v>1660</v>
      </c>
      <c r="C64" s="8">
        <v>0.5</v>
      </c>
      <c r="D64" s="6" t="s">
        <v>525</v>
      </c>
    </row>
    <row r="65" spans="1:4" x14ac:dyDescent="0.3">
      <c r="A65" s="6" t="s">
        <v>407</v>
      </c>
      <c r="B65" s="5" t="s">
        <v>466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467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1661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1660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466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467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1661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1660</v>
      </c>
      <c r="C72" s="8">
        <v>0.5</v>
      </c>
      <c r="D72" s="6" t="s">
        <v>408</v>
      </c>
    </row>
    <row r="73" spans="1:4" x14ac:dyDescent="0.3">
      <c r="A73" s="6" t="s">
        <v>547</v>
      </c>
      <c r="B73" s="5" t="s">
        <v>466</v>
      </c>
      <c r="C73" s="8">
        <v>1</v>
      </c>
      <c r="D73" s="6" t="s">
        <v>547</v>
      </c>
    </row>
    <row r="74" spans="1:4" x14ac:dyDescent="0.3">
      <c r="A74" s="6" t="s">
        <v>547</v>
      </c>
      <c r="B74" s="5" t="s">
        <v>467</v>
      </c>
      <c r="C74" s="8">
        <v>0</v>
      </c>
      <c r="D74" s="6" t="s">
        <v>547</v>
      </c>
    </row>
    <row r="75" spans="1:4" x14ac:dyDescent="0.3">
      <c r="A75" s="6" t="s">
        <v>547</v>
      </c>
      <c r="B75" s="8" t="s">
        <v>1661</v>
      </c>
      <c r="C75" s="8">
        <v>-1</v>
      </c>
      <c r="D75" s="6" t="s">
        <v>547</v>
      </c>
    </row>
    <row r="76" spans="1:4" x14ac:dyDescent="0.3">
      <c r="A76" s="6" t="s">
        <v>547</v>
      </c>
      <c r="B76" s="8" t="s">
        <v>1660</v>
      </c>
      <c r="C76" s="8">
        <v>0.5</v>
      </c>
      <c r="D76" s="6" t="s">
        <v>547</v>
      </c>
    </row>
    <row r="77" spans="1:4" x14ac:dyDescent="0.3">
      <c r="A77" s="6" t="s">
        <v>546</v>
      </c>
      <c r="B77" s="5" t="s">
        <v>466</v>
      </c>
      <c r="C77" s="8">
        <v>1</v>
      </c>
      <c r="D77" s="6" t="s">
        <v>546</v>
      </c>
    </row>
    <row r="78" spans="1:4" x14ac:dyDescent="0.3">
      <c r="A78" s="6" t="s">
        <v>546</v>
      </c>
      <c r="B78" s="5" t="s">
        <v>467</v>
      </c>
      <c r="C78" s="8">
        <v>0</v>
      </c>
      <c r="D78" s="6" t="s">
        <v>546</v>
      </c>
    </row>
    <row r="79" spans="1:4" x14ac:dyDescent="0.3">
      <c r="A79" s="6" t="s">
        <v>546</v>
      </c>
      <c r="B79" s="8" t="s">
        <v>1661</v>
      </c>
      <c r="C79" s="8">
        <v>-1</v>
      </c>
      <c r="D79" s="6" t="s">
        <v>546</v>
      </c>
    </row>
    <row r="80" spans="1:4" x14ac:dyDescent="0.3">
      <c r="A80" s="6" t="s">
        <v>546</v>
      </c>
      <c r="B80" s="8" t="s">
        <v>1660</v>
      </c>
      <c r="C80" s="8">
        <v>0.5</v>
      </c>
      <c r="D80" s="6" t="s">
        <v>546</v>
      </c>
    </row>
    <row r="81" spans="1:4" x14ac:dyDescent="0.3">
      <c r="A81" s="6" t="s">
        <v>545</v>
      </c>
      <c r="B81" s="5" t="s">
        <v>466</v>
      </c>
      <c r="C81" s="8">
        <v>1</v>
      </c>
      <c r="D81" s="6" t="s">
        <v>545</v>
      </c>
    </row>
    <row r="82" spans="1:4" x14ac:dyDescent="0.3">
      <c r="A82" s="6" t="s">
        <v>545</v>
      </c>
      <c r="B82" s="5" t="s">
        <v>467</v>
      </c>
      <c r="C82" s="8">
        <v>0</v>
      </c>
      <c r="D82" s="6" t="s">
        <v>545</v>
      </c>
    </row>
    <row r="83" spans="1:4" x14ac:dyDescent="0.3">
      <c r="A83" s="6" t="s">
        <v>545</v>
      </c>
      <c r="B83" s="8" t="s">
        <v>1661</v>
      </c>
      <c r="C83" s="8">
        <v>-1</v>
      </c>
      <c r="D83" s="6" t="s">
        <v>545</v>
      </c>
    </row>
    <row r="84" spans="1:4" x14ac:dyDescent="0.3">
      <c r="A84" s="6" t="s">
        <v>545</v>
      </c>
      <c r="B84" s="8" t="s">
        <v>1660</v>
      </c>
      <c r="C84" s="8">
        <v>0.5</v>
      </c>
      <c r="D84" s="6" t="s">
        <v>545</v>
      </c>
    </row>
    <row r="85" spans="1:4" x14ac:dyDescent="0.3">
      <c r="A85" s="6" t="s">
        <v>544</v>
      </c>
      <c r="B85" s="5" t="s">
        <v>466</v>
      </c>
      <c r="C85" s="8">
        <v>1</v>
      </c>
      <c r="D85" s="6" t="s">
        <v>544</v>
      </c>
    </row>
    <row r="86" spans="1:4" x14ac:dyDescent="0.3">
      <c r="A86" s="6" t="s">
        <v>544</v>
      </c>
      <c r="B86" s="5" t="s">
        <v>467</v>
      </c>
      <c r="C86" s="8">
        <v>0</v>
      </c>
      <c r="D86" s="6" t="s">
        <v>544</v>
      </c>
    </row>
    <row r="87" spans="1:4" x14ac:dyDescent="0.3">
      <c r="A87" s="6" t="s">
        <v>544</v>
      </c>
      <c r="B87" s="8" t="s">
        <v>1661</v>
      </c>
      <c r="C87" s="8">
        <v>-1</v>
      </c>
      <c r="D87" s="6" t="s">
        <v>544</v>
      </c>
    </row>
    <row r="88" spans="1:4" x14ac:dyDescent="0.3">
      <c r="A88" s="6" t="s">
        <v>544</v>
      </c>
      <c r="B88" s="8" t="s">
        <v>1660</v>
      </c>
      <c r="C88" s="8">
        <v>0.5</v>
      </c>
      <c r="D88" s="6" t="s">
        <v>544</v>
      </c>
    </row>
    <row r="89" spans="1:4" x14ac:dyDescent="0.3">
      <c r="A89" s="6" t="s">
        <v>543</v>
      </c>
      <c r="B89" s="5" t="s">
        <v>466</v>
      </c>
      <c r="C89" s="8">
        <v>1</v>
      </c>
      <c r="D89" s="6" t="s">
        <v>543</v>
      </c>
    </row>
    <row r="90" spans="1:4" x14ac:dyDescent="0.3">
      <c r="A90" s="6" t="s">
        <v>543</v>
      </c>
      <c r="B90" s="5" t="s">
        <v>467</v>
      </c>
      <c r="C90" s="8">
        <v>0</v>
      </c>
      <c r="D90" s="6" t="s">
        <v>543</v>
      </c>
    </row>
    <row r="91" spans="1:4" x14ac:dyDescent="0.3">
      <c r="A91" s="6" t="s">
        <v>543</v>
      </c>
      <c r="B91" s="8" t="s">
        <v>1661</v>
      </c>
      <c r="C91" s="8">
        <v>-1</v>
      </c>
      <c r="D91" s="6" t="s">
        <v>543</v>
      </c>
    </row>
    <row r="92" spans="1:4" x14ac:dyDescent="0.3">
      <c r="A92" s="6" t="s">
        <v>543</v>
      </c>
      <c r="B92" s="8" t="s">
        <v>1660</v>
      </c>
      <c r="C92" s="8">
        <v>0.5</v>
      </c>
      <c r="D92" s="6" t="s">
        <v>543</v>
      </c>
    </row>
    <row r="93" spans="1:4" x14ac:dyDescent="0.3">
      <c r="A93" s="6" t="s">
        <v>542</v>
      </c>
      <c r="B93" s="5" t="s">
        <v>466</v>
      </c>
      <c r="C93" s="8">
        <v>1</v>
      </c>
      <c r="D93" s="6" t="s">
        <v>542</v>
      </c>
    </row>
    <row r="94" spans="1:4" x14ac:dyDescent="0.3">
      <c r="A94" s="6" t="s">
        <v>542</v>
      </c>
      <c r="B94" s="5" t="s">
        <v>467</v>
      </c>
      <c r="C94" s="8">
        <v>0</v>
      </c>
      <c r="D94" s="6" t="s">
        <v>542</v>
      </c>
    </row>
    <row r="95" spans="1:4" x14ac:dyDescent="0.3">
      <c r="A95" s="6" t="s">
        <v>542</v>
      </c>
      <c r="B95" s="8" t="s">
        <v>1661</v>
      </c>
      <c r="C95" s="8">
        <v>-1</v>
      </c>
      <c r="D95" s="6" t="s">
        <v>542</v>
      </c>
    </row>
    <row r="96" spans="1:4" x14ac:dyDescent="0.3">
      <c r="A96" s="6" t="s">
        <v>542</v>
      </c>
      <c r="B96" s="8" t="s">
        <v>1660</v>
      </c>
      <c r="C96" s="8">
        <v>0.5</v>
      </c>
      <c r="D96" s="6" t="s">
        <v>542</v>
      </c>
    </row>
    <row r="97" spans="1:4" x14ac:dyDescent="0.3">
      <c r="A97" s="6" t="s">
        <v>541</v>
      </c>
      <c r="B97" s="5" t="s">
        <v>466</v>
      </c>
      <c r="C97" s="8">
        <v>1</v>
      </c>
      <c r="D97" s="6" t="s">
        <v>541</v>
      </c>
    </row>
    <row r="98" spans="1:4" x14ac:dyDescent="0.3">
      <c r="A98" s="6" t="s">
        <v>541</v>
      </c>
      <c r="B98" s="5" t="s">
        <v>467</v>
      </c>
      <c r="C98" s="8">
        <v>0</v>
      </c>
      <c r="D98" s="6" t="s">
        <v>541</v>
      </c>
    </row>
    <row r="99" spans="1:4" x14ac:dyDescent="0.3">
      <c r="A99" s="6" t="s">
        <v>541</v>
      </c>
      <c r="B99" s="8" t="s">
        <v>1661</v>
      </c>
      <c r="C99" s="8">
        <v>-1</v>
      </c>
      <c r="D99" s="6" t="s">
        <v>541</v>
      </c>
    </row>
    <row r="100" spans="1:4" x14ac:dyDescent="0.3">
      <c r="A100" s="6" t="s">
        <v>541</v>
      </c>
      <c r="B100" s="8" t="s">
        <v>1660</v>
      </c>
      <c r="C100" s="8">
        <v>0.5</v>
      </c>
      <c r="D100" s="6" t="s">
        <v>541</v>
      </c>
    </row>
    <row r="101" spans="1:4" x14ac:dyDescent="0.3">
      <c r="A101" s="6" t="s">
        <v>409</v>
      </c>
      <c r="B101" s="5" t="s">
        <v>475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476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1661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1660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477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478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479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1661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1660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480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480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481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481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1661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1661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1660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1660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466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467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1661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1660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482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483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1661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1660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466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467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1661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1660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466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467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1661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1660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466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467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1661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1660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466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467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1661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1660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466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467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1661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1660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466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467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1661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1660</v>
      </c>
      <c r="C149" s="8">
        <v>0.5</v>
      </c>
      <c r="D149" s="6" t="s">
        <v>420</v>
      </c>
    </row>
    <row r="150" spans="1:4" x14ac:dyDescent="0.3">
      <c r="A150" s="6" t="s">
        <v>1752</v>
      </c>
      <c r="B150" s="5" t="s">
        <v>484</v>
      </c>
      <c r="C150" s="8">
        <v>0</v>
      </c>
      <c r="D150" s="6" t="s">
        <v>1752</v>
      </c>
    </row>
    <row r="151" spans="1:4" x14ac:dyDescent="0.3">
      <c r="A151" s="6" t="s">
        <v>1752</v>
      </c>
      <c r="B151" s="5" t="s">
        <v>485</v>
      </c>
      <c r="C151" s="8">
        <v>1</v>
      </c>
      <c r="D151" s="6" t="s">
        <v>1752</v>
      </c>
    </row>
    <row r="152" spans="1:4" x14ac:dyDescent="0.3">
      <c r="A152" s="6" t="s">
        <v>1752</v>
      </c>
      <c r="B152" s="8" t="s">
        <v>1661</v>
      </c>
      <c r="C152" s="8">
        <v>-1</v>
      </c>
      <c r="D152" s="6" t="s">
        <v>1752</v>
      </c>
    </row>
    <row r="153" spans="1:4" x14ac:dyDescent="0.3">
      <c r="A153" s="6" t="s">
        <v>1752</v>
      </c>
      <c r="B153" s="8" t="s">
        <v>1660</v>
      </c>
      <c r="C153" s="8">
        <v>0.5</v>
      </c>
      <c r="D153" s="6" t="s">
        <v>1752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2026-06-30T06:42:21Z</dcterms:modified>
</cp:coreProperties>
</file>